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G731\OneDrive\Desktop\Projects\"/>
    </mc:Choice>
  </mc:AlternateContent>
  <xr:revisionPtr revIDLastSave="0" documentId="13_ncr:1_{6F7F48B2-8A6F-4F76-9E85-608C351C8FEF}" xr6:coauthVersionLast="47" xr6:coauthVersionMax="47" xr10:uidLastSave="{00000000-0000-0000-0000-000000000000}"/>
  <bookViews>
    <workbookView xWindow="-108" yWindow="-108" windowWidth="23256" windowHeight="12456" tabRatio="771" xr2:uid="{17C6E7DD-9230-4D19-B06C-4444120FB284}"/>
  </bookViews>
  <sheets>
    <sheet name="Dashboard" sheetId="3" r:id="rId1"/>
    <sheet name="Daily ER Patients" sheetId="4" r:id="rId2"/>
    <sheet name="Average wait time trend" sheetId="8" r:id="rId3"/>
    <sheet name="Satisfaction score daily trend" sheetId="9" r:id="rId4"/>
    <sheet name="Pivot Report" sheetId="1" r:id="rId5"/>
  </sheets>
  <definedNames>
    <definedName name="Slicer_Date__Month">#N/A</definedName>
    <definedName name="Slicer_Date__Year">#N/A</definedName>
  </definedNames>
  <calcPr calcId="191029"/>
  <pivotCaches>
    <pivotCache cacheId="558" r:id="rId6"/>
    <pivotCache cacheId="561" r:id="rId7"/>
    <pivotCache cacheId="564" r:id="rId8"/>
    <pivotCache cacheId="567" r:id="rId9"/>
    <pivotCache cacheId="570" r:id="rId10"/>
    <pivotCache cacheId="573" r:id="rId11"/>
    <pivotCache cacheId="576" r:id="rId12"/>
    <pivotCache cacheId="579" r:id="rId13"/>
    <pivotCache cacheId="582" r:id="rId14"/>
    <pivotCache cacheId="585" r:id="rId15"/>
    <pivotCache cacheId="588" r:id="rId16"/>
    <pivotCache cacheId="59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7da90e99-e642-461c-9767-b69070e9cbe1" name="Calendar_Table" connection="Query - Calendar_Table"/>
          <x15:modelTable id="Hospital Emergency Room Data_64064816-d852-47ce-bdfc-42e9c70cc0dd" name="Hospital Emergency Room Data" connection="Query - Hospital Emergency Room Data"/>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8" i="1" l="1"/>
  <c r="C48" i="1"/>
  <c r="A48" i="1"/>
  <c r="B49" i="1"/>
  <c r="C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02FB52-D68C-402E-92E3-C4AD3405AFC0}" name="Query - Calendar_Table" description="Connection to the 'Calendar_Table' query in the workbook." type="100" refreshedVersion="8" minRefreshableVersion="5">
    <extLst>
      <ext xmlns:x15="http://schemas.microsoft.com/office/spreadsheetml/2010/11/main" uri="{DE250136-89BD-433C-8126-D09CA5730AF9}">
        <x15:connection id="6031ae19-b7a6-40ca-bfea-918dd132a1af">
          <x15:oledbPr connection="Provider=Microsoft.Mashup.OleDb.1;Data Source=$Workbook$;Location=Calendar_Table;Extended Properties=&quot;&quot;">
            <x15:dbTables>
              <x15:dbTable name="Calendar_Table"/>
            </x15:dbTables>
          </x15:oledbPr>
        </x15:connection>
      </ext>
    </extLst>
  </connection>
  <connection id="2" xr16:uid="{8D07B052-7C94-4CCC-A8DB-BAF04B7C5DE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1719cf7-bff7-49dc-8aa6-9e2083a78e0d"/>
      </ext>
    </extLst>
  </connection>
  <connection id="3" xr16:uid="{1AF99824-EDD8-4992-AB5F-893F3B5EBF5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<sst xmlns="http://schemas.openxmlformats.org/spreadsheetml/2006/main" count="151" uniqueCount="71">
  <si>
    <t>Distinct Count of Patient Id</t>
  </si>
  <si>
    <t>No. of Patient</t>
  </si>
  <si>
    <t>Average of Patient Waittime</t>
  </si>
  <si>
    <t>Average of Patient Satisfaction Score</t>
  </si>
  <si>
    <t>Row Labels</t>
  </si>
  <si>
    <t>Grand Total</t>
  </si>
  <si>
    <t>Daily trends of number of patients</t>
  </si>
  <si>
    <t>Average wait time</t>
  </si>
  <si>
    <t>Satisfsction score daily trend</t>
  </si>
  <si>
    <t>Dashboard!A1</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</si>
  <si>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</si>
  <si>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</si>
  <si>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</si>
  <si>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</si>
  <si>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</si>
  <si>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</si>
  <si>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</si>
  <si>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</si>
  <si>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</si>
  <si>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</si>
  <si>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</si>
  <si>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</si>
  <si>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</si>
  <si>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</si>
  <si>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</si>
  <si>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</si>
  <si>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</si>
  <si>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</si>
  <si>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</si>
  <si>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</si>
  <si>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</si>
  <si>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</si>
  <si>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</si>
  <si>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</si>
  <si>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</si>
  <si>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</si>
  <si>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</si>
  <si>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</si>
  <si>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</si>
  <si>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</si>
  <si>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Male</t>
  </si>
  <si>
    <t>None</t>
  </si>
  <si>
    <t>Admitted</t>
  </si>
  <si>
    <t>60-69</t>
  </si>
  <si>
    <t>Delay</t>
  </si>
  <si>
    <t>50-59</t>
  </si>
  <si>
    <t>70-79</t>
  </si>
  <si>
    <t>Ontime</t>
  </si>
  <si>
    <t>10-19</t>
  </si>
  <si>
    <t>40-49</t>
  </si>
  <si>
    <t>20-29</t>
  </si>
  <si>
    <t>0-9</t>
  </si>
  <si>
    <t>30-39</t>
  </si>
  <si>
    <t>Female</t>
  </si>
  <si>
    <t>Not Admitted</t>
  </si>
  <si>
    <t>General Practice</t>
  </si>
  <si>
    <t>Orthopedics</t>
  </si>
  <si>
    <t>Physiotherapy</t>
  </si>
  <si>
    <t>Cardiology</t>
  </si>
  <si>
    <t>Neurology</t>
  </si>
  <si>
    <t>Gastroenterology</t>
  </si>
  <si>
    <t>Renal</t>
  </si>
  <si>
    <t>Count of Patient Admission Flag</t>
  </si>
  <si>
    <t>Count of Patient Attend Status</t>
  </si>
  <si>
    <t>Count of Patient Admission Flag2</t>
  </si>
  <si>
    <t>Admission Status</t>
  </si>
  <si>
    <t>% Status</t>
  </si>
  <si>
    <t>Count of Age Group</t>
  </si>
  <si>
    <t>Count of Patient Gender</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</si>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</sst>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u/>
      <sz val="11"/>
      <color theme="10"/>
      <name val="Aptos Narrow"/>
      <family val="2"/>
      <scheme val="minor"/>
    </font>
    <font>
      <sz val="9"/>
      <color theme="0"/>
      <name val="Aptos Narrow"/>
      <family val="2"/>
      <scheme val="minor"/>
    </font>
    <font>
      <sz val="9"/>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1" fillId="3" borderId="0" xfId="1" applyFill="1"/>
    <xf numFmtId="1" fontId="0" fillId="0" borderId="0" xfId="0" applyNumberFormat="1"/>
    <xf numFmtId="10" fontId="0" fillId="0" borderId="0" xfId="0" applyNumberFormat="1"/>
    <xf numFmtId="9" fontId="0" fillId="0" borderId="0" xfId="0" applyNumberFormat="1"/>
    <xf numFmtId="0" fontId="0" fillId="0" borderId="0" xfId="0" applyNumberFormat="1"/>
    <xf numFmtId="0" fontId="2" fillId="5" borderId="0" xfId="0" applyFont="1" applyFill="1" applyAlignment="1">
      <alignment horizontal="center" vertical="center"/>
    </xf>
    <xf numFmtId="0" fontId="3" fillId="4" borderId="0" xfId="0" applyFont="1" applyFill="1" applyAlignment="1">
      <alignment horizontal="center" vertical="center"/>
    </xf>
    <xf numFmtId="10" fontId="3" fillId="4" borderId="0" xfId="0" applyNumberFormat="1" applyFont="1" applyFill="1" applyAlignment="1">
      <alignment horizontal="center" vertical="center"/>
    </xf>
  </cellXfs>
  <cellStyles count="2">
    <cellStyle name="Hyperlink" xfId="1" builtinId="8"/>
    <cellStyle name="Normal" xfId="0" builtinId="0"/>
  </cellStyles>
  <dxfs count="308">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b val="0"/>
        <i val="0"/>
        <sz val="8"/>
        <color theme="1"/>
      </font>
      <fill>
        <patternFill>
          <bgColor theme="2"/>
        </patternFill>
      </fill>
      <border diagonalUp="0" diagonalDown="0">
        <left/>
        <right/>
        <top/>
        <bottom/>
        <vertical/>
        <horizontal/>
      </border>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2" formatCode="0.00"/>
    </dxf>
    <dxf>
      <numFmt numFmtId="1" formatCode="0"/>
    </dxf>
    <dxf>
      <numFmt numFmtId="1" formatCode="0"/>
    </dxf>
    <dxf>
      <numFmt numFmtId="14" formatCode="0.00%"/>
    </dxf>
    <dxf>
      <numFmt numFmtId="2" formatCode="0.00"/>
    </dxf>
    <dxf>
      <numFmt numFmtId="13" formatCode="0%"/>
    </dxf>
    <dxf>
      <numFmt numFmtId="14"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s>
  <tableStyles count="1" defaultTableStyle="TableStyleMedium2" defaultPivotStyle="PivotStyleLight16">
    <tableStyle name="My Style" pivot="0" table="0" count="10" xr9:uid="{B9867CD8-175B-4363-81AB-E57DAC3DB769}">
      <tableStyleElement type="wholeTable" dxfId="37"/>
      <tableStyleElement type="headerRow" dxfId="36"/>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6316508173875E-3"/>
          <c:y val="0.22190273542396796"/>
          <c:w val="0.99108368349182607"/>
          <c:h val="0.77809726457603201"/>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5-E530-4675-91E8-53C7AB9B7FC8}"/>
            </c:ext>
          </c:extLst>
        </c:ser>
        <c:dLbls>
          <c:showLegendKey val="0"/>
          <c:showVal val="0"/>
          <c:showCatName val="0"/>
          <c:showSerName val="0"/>
          <c:showPercent val="0"/>
          <c:showBubbleSize val="0"/>
        </c:dLbls>
        <c:axId val="312911687"/>
        <c:axId val="312907367"/>
      </c:areaChart>
      <c:catAx>
        <c:axId val="312911687"/>
        <c:scaling>
          <c:orientation val="minMax"/>
        </c:scaling>
        <c:delete val="1"/>
        <c:axPos val="b"/>
        <c:numFmt formatCode="General" sourceLinked="1"/>
        <c:majorTickMark val="out"/>
        <c:minorTickMark val="none"/>
        <c:tickLblPos val="nextTo"/>
        <c:crossAx val="312907367"/>
        <c:crosses val="autoZero"/>
        <c:auto val="1"/>
        <c:lblAlgn val="ctr"/>
        <c:lblOffset val="100"/>
        <c:noMultiLvlLbl val="0"/>
      </c:catAx>
      <c:valAx>
        <c:axId val="312907367"/>
        <c:scaling>
          <c:orientation val="minMax"/>
        </c:scaling>
        <c:delete val="1"/>
        <c:axPos val="l"/>
        <c:numFmt formatCode="General" sourceLinked="1"/>
        <c:majorTickMark val="none"/>
        <c:minorTickMark val="none"/>
        <c:tickLblPos val="nextTo"/>
        <c:crossAx val="312911687"/>
        <c:crosses val="autoZero"/>
        <c:crossBetween val="midCat"/>
      </c:valAx>
      <c:spPr>
        <a:solidFill>
          <a:schemeClr val="bg2"/>
        </a:solidFill>
        <a:ln>
          <a:noFill/>
        </a:ln>
        <a:effectLst>
          <a:outerShdw blurRad="50800" dist="50800" dir="5400000" algn="ctr" rotWithShape="0">
            <a:schemeClr val="bg2"/>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Report!PivotTable6</c:name>
    <c:fmtId val="8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5-E6E5-41A6-99F5-5FDC3C871E51}"/>
            </c:ext>
          </c:extLst>
        </c:ser>
        <c:dLbls>
          <c:showLegendKey val="0"/>
          <c:showVal val="0"/>
          <c:showCatName val="0"/>
          <c:showSerName val="0"/>
          <c:showPercent val="0"/>
          <c:showBubbleSize val="0"/>
        </c:dLbls>
        <c:axId val="696143519"/>
        <c:axId val="696138839"/>
      </c:areaChart>
      <c:catAx>
        <c:axId val="696143519"/>
        <c:scaling>
          <c:orientation val="minMax"/>
        </c:scaling>
        <c:delete val="1"/>
        <c:axPos val="b"/>
        <c:numFmt formatCode="General" sourceLinked="1"/>
        <c:majorTickMark val="out"/>
        <c:minorTickMark val="none"/>
        <c:tickLblPos val="nextTo"/>
        <c:crossAx val="696138839"/>
        <c:crosses val="autoZero"/>
        <c:auto val="1"/>
        <c:lblAlgn val="ctr"/>
        <c:lblOffset val="100"/>
        <c:noMultiLvlLbl val="0"/>
      </c:catAx>
      <c:valAx>
        <c:axId val="696138839"/>
        <c:scaling>
          <c:orientation val="minMax"/>
        </c:scaling>
        <c:delete val="1"/>
        <c:axPos val="l"/>
        <c:numFmt formatCode="0.00" sourceLinked="1"/>
        <c:majorTickMark val="none"/>
        <c:minorTickMark val="none"/>
        <c:tickLblPos val="nextTo"/>
        <c:crossAx val="696143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Report!PivotTable7</c:name>
    <c:fmtId val="19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38537761559267E-3"/>
          <c:y val="0.18855198859780101"/>
          <c:w val="0.994084628566553"/>
          <c:h val="0.78464987444007062"/>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Report'!$N$5:$N$35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5-E26A-4439-8AED-2EFD21DAF287}"/>
            </c:ext>
          </c:extLst>
        </c:ser>
        <c:dLbls>
          <c:showLegendKey val="0"/>
          <c:showVal val="0"/>
          <c:showCatName val="0"/>
          <c:showSerName val="0"/>
          <c:showPercent val="0"/>
          <c:showBubbleSize val="0"/>
        </c:dLbls>
        <c:axId val="696144959"/>
        <c:axId val="696148919"/>
      </c:areaChart>
      <c:catAx>
        <c:axId val="696144959"/>
        <c:scaling>
          <c:orientation val="minMax"/>
        </c:scaling>
        <c:delete val="1"/>
        <c:axPos val="b"/>
        <c:numFmt formatCode="General" sourceLinked="1"/>
        <c:majorTickMark val="out"/>
        <c:minorTickMark val="none"/>
        <c:tickLblPos val="nextTo"/>
        <c:crossAx val="696148919"/>
        <c:crosses val="autoZero"/>
        <c:auto val="1"/>
        <c:lblAlgn val="ctr"/>
        <c:lblOffset val="100"/>
        <c:noMultiLvlLbl val="0"/>
      </c:catAx>
      <c:valAx>
        <c:axId val="696148919"/>
        <c:scaling>
          <c:orientation val="minMax"/>
        </c:scaling>
        <c:delete val="1"/>
        <c:axPos val="l"/>
        <c:numFmt formatCode="0.00" sourceLinked="1"/>
        <c:majorTickMark val="none"/>
        <c:minorTickMark val="none"/>
        <c:tickLblPos val="nextTo"/>
        <c:crossAx val="6961449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03336100349163E-3"/>
          <c:y val="1.1577318272094793E-2"/>
          <c:w val="0.99872960179065651"/>
          <c:h val="0.58693454718937088"/>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5-BF5F-4643-A8D0-8C711F7FA928}"/>
            </c:ext>
          </c:extLst>
        </c:ser>
        <c:dLbls>
          <c:dLblPos val="outEnd"/>
          <c:showLegendKey val="0"/>
          <c:showVal val="1"/>
          <c:showCatName val="0"/>
          <c:showSerName val="0"/>
          <c:showPercent val="0"/>
          <c:showBubbleSize val="0"/>
        </c:dLbls>
        <c:gapWidth val="219"/>
        <c:overlap val="-27"/>
        <c:axId val="974346096"/>
        <c:axId val="974344656"/>
      </c:barChart>
      <c:catAx>
        <c:axId val="9743460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974344656"/>
        <c:crosses val="autoZero"/>
        <c:auto val="1"/>
        <c:lblAlgn val="ctr"/>
        <c:lblOffset val="100"/>
        <c:noMultiLvlLbl val="0"/>
      </c:catAx>
      <c:valAx>
        <c:axId val="974344656"/>
        <c:scaling>
          <c:orientation val="minMax"/>
        </c:scaling>
        <c:delete val="1"/>
        <c:axPos val="l"/>
        <c:majorGridlines>
          <c:spPr>
            <a:ln w="9525" cap="flat" cmpd="sng" algn="ctr">
              <a:solidFill>
                <a:schemeClr val="tx1">
                  <a:lumMod val="15000"/>
                  <a:lumOff val="85000"/>
                </a:schemeClr>
              </a:solidFill>
              <a:round/>
            </a:ln>
            <a:effectLst>
              <a:outerShdw blurRad="50800" dist="50800" dir="5400000" algn="ctr" rotWithShape="0">
                <a:schemeClr val="bg2"/>
              </a:outerShdw>
            </a:effectLst>
          </c:spPr>
        </c:majorGridlines>
        <c:numFmt formatCode="0" sourceLinked="1"/>
        <c:majorTickMark val="out"/>
        <c:minorTickMark val="none"/>
        <c:tickLblPos val="nextTo"/>
        <c:crossAx val="97434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Report!PivotTable9</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184986710170189"/>
          <c:y val="0.23097879548278619"/>
          <c:w val="0.63981773130666408"/>
          <c:h val="0.73235488099660739"/>
        </c:manualLayout>
      </c:layout>
      <c:pieChart>
        <c:varyColors val="1"/>
        <c:ser>
          <c:idx val="0"/>
          <c:order val="0"/>
          <c:tx>
            <c:strRef>
              <c:f>'Pivot Report'!$B$65</c:f>
              <c:strCache>
                <c:ptCount val="1"/>
                <c:pt idx="0">
                  <c:v>Total</c:v>
                </c:pt>
              </c:strCache>
            </c:strRef>
          </c:tx>
          <c:spPr>
            <a:ln>
              <a:noFill/>
            </a:ln>
          </c:spPr>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Ontime</c:v>
                </c:pt>
              </c:strCache>
            </c:strRef>
          </c:cat>
          <c:val>
            <c:numRef>
              <c:f>'Pivot Report'!$B$66:$B$68</c:f>
              <c:numCache>
                <c:formatCode>0</c:formatCode>
                <c:ptCount val="2"/>
                <c:pt idx="0">
                  <c:v>273</c:v>
                </c:pt>
                <c:pt idx="1">
                  <c:v>206</c:v>
                </c:pt>
              </c:numCache>
            </c:numRef>
          </c:val>
          <c:extLst>
            <c:ext xmlns:c16="http://schemas.microsoft.com/office/drawing/2014/chart" uri="{C3380CC4-5D6E-409C-BE32-E72D297353CC}">
              <c16:uniqueId val="{00000009-657E-4B9C-BEB8-B4849CB5FA9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672451751382309"/>
          <c:y val="6.3008530183727054E-2"/>
          <c:w val="0.73420306589344331"/>
          <c:h val="0.11911657619488943"/>
        </c:manualLayout>
      </c:layout>
      <c:overlay val="0"/>
      <c:spPr>
        <a:solidFill>
          <a:schemeClr val="bg2">
            <a:alpha val="78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Report!PivotTable10</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1774935589387979"/>
          <c:y val="0.2097792499679485"/>
          <c:w val="0.65281771905783958"/>
          <c:h val="0.78361857017890435"/>
        </c:manualLayout>
      </c:layout>
      <c:doughnutChart>
        <c:varyColors val="1"/>
        <c:ser>
          <c:idx val="0"/>
          <c:order val="0"/>
          <c:tx>
            <c:strRef>
              <c:f>'Pivot Report'!$B$71</c:f>
              <c:strCache>
                <c:ptCount val="1"/>
                <c:pt idx="0">
                  <c:v>Total</c:v>
                </c:pt>
              </c:strCache>
            </c:strRef>
          </c:tx>
          <c:spPr>
            <a:ln>
              <a:noFill/>
            </a:ln>
            <a:effectLst/>
          </c:spPr>
          <c:dPt>
            <c:idx val="0"/>
            <c:bubble3D val="0"/>
            <c:spPr>
              <a:solidFill>
                <a:schemeClr val="accent1"/>
              </a:solidFill>
              <a:ln w="19050">
                <a:noFill/>
              </a:ln>
              <a:effectLst/>
            </c:spPr>
          </c:dPt>
          <c:dPt>
            <c:idx val="1"/>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c:formatCode>
                <c:ptCount val="2"/>
                <c:pt idx="0">
                  <c:v>0.49060542797494783</c:v>
                </c:pt>
                <c:pt idx="1">
                  <c:v>0.50939457202505223</c:v>
                </c:pt>
              </c:numCache>
            </c:numRef>
          </c:val>
          <c:extLst>
            <c:ext xmlns:c16="http://schemas.microsoft.com/office/drawing/2014/chart" uri="{C3380CC4-5D6E-409C-BE32-E72D297353CC}">
              <c16:uniqueId val="{00000009-7BAF-4C1D-9037-D995E22E50DD}"/>
            </c:ext>
          </c:extLst>
        </c:ser>
        <c:dLbls>
          <c:showLegendKey val="0"/>
          <c:showVal val="0"/>
          <c:showCatName val="0"/>
          <c:showSerName val="0"/>
          <c:showPercent val="0"/>
          <c:showBubbleSize val="0"/>
          <c:showLeaderLines val="1"/>
        </c:dLbls>
        <c:firstSliceAng val="0"/>
        <c:holeSize val="55"/>
      </c:doughnutChart>
      <c:spPr>
        <a:noFill/>
        <a:ln>
          <a:noFill/>
        </a:ln>
        <a:effectLst>
          <a:outerShdw blurRad="50800" dist="50800" dir="5400000" sx="1000" sy="1000" algn="ctr" rotWithShape="0">
            <a:schemeClr val="bg2"/>
          </a:outerShdw>
        </a:effectLst>
      </c:spPr>
    </c:plotArea>
    <c:legend>
      <c:legendPos val="r"/>
      <c:layout>
        <c:manualLayout>
          <c:xMode val="edge"/>
          <c:yMode val="edge"/>
          <c:x val="0.15028779518805865"/>
          <c:y val="3.7292682858808206E-2"/>
          <c:w val="0.70602676982052226"/>
          <c:h val="0.1255460752788047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37379702537184"/>
          <c:y val="0"/>
          <c:w val="0.73718175853018375"/>
          <c:h val="0.84204505686789155"/>
        </c:manualLayout>
      </c:layout>
      <c:barChart>
        <c:barDir val="bar"/>
        <c:grouping val="clustered"/>
        <c:varyColors val="0"/>
        <c:ser>
          <c:idx val="0"/>
          <c:order val="0"/>
          <c:tx>
            <c:strRef>
              <c:f>'Pivot Report'!$B$77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Report'!$A$78:$A$86</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Report'!$B$78:$B$86</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5-5A6C-4CC8-9D82-7840BD0292D7}"/>
            </c:ext>
          </c:extLst>
        </c:ser>
        <c:dLbls>
          <c:showLegendKey val="0"/>
          <c:showVal val="0"/>
          <c:showCatName val="0"/>
          <c:showSerName val="0"/>
          <c:showPercent val="0"/>
          <c:showBubbleSize val="0"/>
        </c:dLbls>
        <c:gapWidth val="182"/>
        <c:axId val="74657927"/>
        <c:axId val="74660447"/>
      </c:barChart>
      <c:catAx>
        <c:axId val="74657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60447"/>
        <c:crosses val="autoZero"/>
        <c:auto val="1"/>
        <c:lblAlgn val="ctr"/>
        <c:lblOffset val="100"/>
        <c:noMultiLvlLbl val="0"/>
      </c:catAx>
      <c:valAx>
        <c:axId val="74660447"/>
        <c:scaling>
          <c:orientation val="minMax"/>
        </c:scaling>
        <c:delete val="1"/>
        <c:axPos val="b"/>
        <c:numFmt formatCode="0" sourceLinked="1"/>
        <c:majorTickMark val="none"/>
        <c:minorTickMark val="none"/>
        <c:tickLblPos val="nextTo"/>
        <c:crossAx val="74657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s>
    <c:plotArea>
      <c:layout/>
      <c:lineChart>
        <c:grouping val="standard"/>
        <c:varyColors val="0"/>
        <c:ser>
          <c:idx val="0"/>
          <c:order val="0"/>
          <c:tx>
            <c:strRef>
              <c:f>'Pivot Report'!$F$4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smooth val="0"/>
          <c:extLst>
            <c:ext xmlns:c16="http://schemas.microsoft.com/office/drawing/2014/chart" uri="{C3380CC4-5D6E-409C-BE32-E72D297353CC}">
              <c16:uniqueId val="{00000004-96EF-4DF4-AA03-884421D69F2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12911687"/>
        <c:axId val="312907367"/>
      </c:lineChart>
      <c:catAx>
        <c:axId val="312911687"/>
        <c:scaling>
          <c:orientation val="minMax"/>
        </c:scaling>
        <c:delete val="0"/>
        <c:axPos val="b"/>
        <c:numFmt formatCode="General" sourceLinked="1"/>
        <c:majorTickMark val="out"/>
        <c:minorTickMark val="none"/>
        <c:tickLblPos val="nextTo"/>
        <c:spPr>
          <a:noFill/>
          <a:ln>
            <a:noFill/>
          </a:ln>
          <a:effectLst/>
        </c:spPr>
        <c:txPr>
          <a:bodyPr rot="-2700000" spcFirstLastPara="1" vertOverflow="ellipsis" wrap="square" anchor="ctr" anchorCtr="1"/>
          <a:lstStyle/>
          <a:p>
            <a:pPr>
              <a:defRPr sz="900" b="0" i="0" u="none" strike="noStrike" kern="1200" spc="30" baseline="0">
                <a:solidFill>
                  <a:schemeClr val="lt1"/>
                </a:solidFill>
                <a:latin typeface="+mn-lt"/>
                <a:ea typeface="+mn-ea"/>
                <a:cs typeface="+mn-cs"/>
              </a:defRPr>
            </a:pPr>
            <a:endParaRPr lang="en-US"/>
          </a:p>
        </c:txPr>
        <c:crossAx val="312907367"/>
        <c:crosses val="autoZero"/>
        <c:auto val="1"/>
        <c:lblAlgn val="ctr"/>
        <c:lblOffset val="100"/>
        <c:noMultiLvlLbl val="0"/>
      </c:catAx>
      <c:valAx>
        <c:axId val="312907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2911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Report!PivotTable6</c:name>
    <c:fmtId val="9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31108318033015E-2"/>
          <c:y val="2.2491890602126821E-2"/>
          <c:w val="0.93950295532307293"/>
          <c:h val="0.79429536909851872"/>
        </c:manualLayout>
      </c:layout>
      <c:lineChart>
        <c:grouping val="standard"/>
        <c:varyColors val="0"/>
        <c:ser>
          <c:idx val="0"/>
          <c:order val="0"/>
          <c:tx>
            <c:strRef>
              <c:f>'Pivot Report'!$J$4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smooth val="0"/>
          <c:extLst>
            <c:ext xmlns:c16="http://schemas.microsoft.com/office/drawing/2014/chart" uri="{C3380CC4-5D6E-409C-BE32-E72D297353CC}">
              <c16:uniqueId val="{00000004-866F-4B3D-8C8A-20447435448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96143519"/>
        <c:axId val="696138839"/>
      </c:lineChart>
      <c:catAx>
        <c:axId val="6961435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96138839"/>
        <c:crosses val="autoZero"/>
        <c:auto val="1"/>
        <c:lblAlgn val="ctr"/>
        <c:lblOffset val="100"/>
        <c:noMultiLvlLbl val="0"/>
      </c:catAx>
      <c:valAx>
        <c:axId val="6961388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solidFill>
                <a:effectLst>
                  <a:outerShdw blurRad="38100" dist="50800" dir="5400000" algn="ctr" rotWithShape="0">
                    <a:srgbClr val="000000">
                      <a:alpha val="43137"/>
                    </a:srgbClr>
                  </a:outerShdw>
                </a:effectLst>
                <a:latin typeface="+mn-lt"/>
                <a:ea typeface="+mn-ea"/>
                <a:cs typeface="+mn-cs"/>
              </a:defRPr>
            </a:pPr>
            <a:endParaRPr lang="en-US"/>
          </a:p>
        </c:txPr>
        <c:crossAx val="6961435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Report!PivotTable7</c:name>
    <c:fmtId val="20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38537761559267E-3"/>
          <c:y val="0.18855198859780101"/>
          <c:w val="0.994084628566553"/>
          <c:h val="0.78464987444007062"/>
        </c:manualLayout>
      </c:layout>
      <c:lineChart>
        <c:grouping val="standard"/>
        <c:varyColors val="0"/>
        <c:ser>
          <c:idx val="0"/>
          <c:order val="0"/>
          <c:tx>
            <c:strRef>
              <c:f>'Pivot Report'!$N$4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Report'!$N$5:$N$35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smooth val="0"/>
          <c:extLst>
            <c:ext xmlns:c16="http://schemas.microsoft.com/office/drawing/2014/chart" uri="{C3380CC4-5D6E-409C-BE32-E72D297353CC}">
              <c16:uniqueId val="{00000004-3513-4171-BE05-72360D8085C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96144959"/>
        <c:axId val="696148919"/>
      </c:lineChart>
      <c:catAx>
        <c:axId val="6961449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96148919"/>
        <c:crosses val="autoZero"/>
        <c:auto val="1"/>
        <c:lblAlgn val="ctr"/>
        <c:lblOffset val="100"/>
        <c:noMultiLvlLbl val="0"/>
      </c:catAx>
      <c:valAx>
        <c:axId val="69614891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9614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Emergency Room Dashboard.xlsx]Pivot Report!PivotTable5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1.2174253576538362E-2"/>
          <c:y val="0.26190328888288966"/>
          <c:w val="0.97848702492946049"/>
          <c:h val="0.47619342223422068"/>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dPt>
          <c:dLbls>
            <c:spPr>
              <a:noFill/>
              <a:ln>
                <a:noFill/>
              </a:ln>
              <a:effectLst/>
            </c:spPr>
            <c:txPr>
              <a:bodyPr wrap="square" lIns="38100" tIns="19050" rIns="38100" bIns="19050" anchor="ctr">
                <a:spAutoFit/>
              </a:bodyPr>
              <a:lstStyle/>
              <a:p>
                <a:pPr>
                  <a:defRPr sz="7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Report'!$A$42:$A$44</c:f>
              <c:strCache>
                <c:ptCount val="2"/>
                <c:pt idx="0">
                  <c:v>Not Admitted</c:v>
                </c:pt>
                <c:pt idx="1">
                  <c:v>Admitted</c:v>
                </c:pt>
              </c:strCache>
            </c:strRef>
          </c:cat>
          <c:val>
            <c:numRef>
              <c:f>'Pivot Report'!$B$42:$B$44</c:f>
              <c:numCache>
                <c:formatCode>0</c:formatCode>
                <c:ptCount val="2"/>
                <c:pt idx="0">
                  <c:v>242</c:v>
                </c:pt>
                <c:pt idx="1">
                  <c:v>237</c:v>
                </c:pt>
              </c:numCache>
            </c:numRef>
          </c:val>
          <c:extLst>
            <c:ext xmlns:c16="http://schemas.microsoft.com/office/drawing/2014/chart" uri="{C3380CC4-5D6E-409C-BE32-E72D297353CC}">
              <c16:uniqueId val="{0000000F-4F40-4241-A4FA-94905E47571A}"/>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Report'!$A$42:$A$44</c:f>
              <c:strCache>
                <c:ptCount val="2"/>
                <c:pt idx="0">
                  <c:v>Not Admitted</c:v>
                </c:pt>
                <c:pt idx="1">
                  <c:v>Admitted</c:v>
                </c:pt>
              </c:strCache>
            </c:strRef>
          </c:cat>
          <c:val>
            <c:numRef>
              <c:f>'Pivot Report'!$C$42:$C$44</c:f>
              <c:numCache>
                <c:formatCode>0.00%</c:formatCode>
                <c:ptCount val="2"/>
                <c:pt idx="0">
                  <c:v>0.50521920668058451</c:v>
                </c:pt>
                <c:pt idx="1">
                  <c:v>0.49478079331941544</c:v>
                </c:pt>
              </c:numCache>
            </c:numRef>
          </c:val>
          <c:extLst>
            <c:ext xmlns:c16="http://schemas.microsoft.com/office/drawing/2014/chart" uri="{C3380CC4-5D6E-409C-BE32-E72D297353CC}">
              <c16:uniqueId val="{00000010-4F40-4241-A4FA-94905E47571A}"/>
            </c:ext>
          </c:extLst>
        </c:ser>
        <c:dLbls>
          <c:dLblPos val="outEnd"/>
          <c:showLegendKey val="0"/>
          <c:showVal val="1"/>
          <c:showCatName val="0"/>
          <c:showSerName val="0"/>
          <c:showPercent val="0"/>
          <c:showBubbleSize val="0"/>
        </c:dLbls>
        <c:gapWidth val="14"/>
        <c:overlap val="-25"/>
        <c:axId val="830602632"/>
        <c:axId val="830601192"/>
      </c:barChart>
      <c:catAx>
        <c:axId val="830602632"/>
        <c:scaling>
          <c:orientation val="minMax"/>
        </c:scaling>
        <c:delete val="1"/>
        <c:axPos val="l"/>
        <c:numFmt formatCode="General" sourceLinked="1"/>
        <c:majorTickMark val="none"/>
        <c:minorTickMark val="none"/>
        <c:tickLblPos val="nextTo"/>
        <c:crossAx val="830601192"/>
        <c:crosses val="autoZero"/>
        <c:auto val="1"/>
        <c:lblAlgn val="ctr"/>
        <c:lblOffset val="100"/>
        <c:noMultiLvlLbl val="0"/>
      </c:catAx>
      <c:valAx>
        <c:axId val="830601192"/>
        <c:scaling>
          <c:orientation val="minMax"/>
        </c:scaling>
        <c:delete val="1"/>
        <c:axPos val="b"/>
        <c:numFmt formatCode="0" sourceLinked="1"/>
        <c:majorTickMark val="none"/>
        <c:minorTickMark val="none"/>
        <c:tickLblPos val="nextTo"/>
        <c:crossAx val="830602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Patients'!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58615</xdr:colOff>
      <xdr:row>0</xdr:row>
      <xdr:rowOff>70337</xdr:rowOff>
    </xdr:from>
    <xdr:to>
      <xdr:col>5</xdr:col>
      <xdr:colOff>352425</xdr:colOff>
      <xdr:row>3</xdr:row>
      <xdr:rowOff>90488</xdr:rowOff>
    </xdr:to>
    <xdr:sp macro="" textlink="">
      <xdr:nvSpPr>
        <xdr:cNvPr id="2" name="Rectangle: Rounded Corners 1">
          <a:extLst>
            <a:ext uri="{FF2B5EF4-FFF2-40B4-BE49-F238E27FC236}">
              <a16:creationId xmlns:a16="http://schemas.microsoft.com/office/drawing/2014/main" id="{B41622B3-B64E-F871-9B7C-CAA483E1326C}"/>
            </a:ext>
          </a:extLst>
        </xdr:cNvPr>
        <xdr:cNvSpPr/>
      </xdr:nvSpPr>
      <xdr:spPr>
        <a:xfrm>
          <a:off x="58615" y="70337"/>
          <a:ext cx="3341810" cy="56307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409574</xdr:colOff>
      <xdr:row>0</xdr:row>
      <xdr:rowOff>76200</xdr:rowOff>
    </xdr:from>
    <xdr:to>
      <xdr:col>7</xdr:col>
      <xdr:colOff>404447</xdr:colOff>
      <xdr:row>3</xdr:row>
      <xdr:rowOff>80963</xdr:rowOff>
    </xdr:to>
    <xdr:sp macro="" textlink="">
      <xdr:nvSpPr>
        <xdr:cNvPr id="8" name="Rectangle: Rounded Corners 7">
          <a:extLst>
            <a:ext uri="{FF2B5EF4-FFF2-40B4-BE49-F238E27FC236}">
              <a16:creationId xmlns:a16="http://schemas.microsoft.com/office/drawing/2014/main" id="{AE54796E-5E56-4AC1-91C2-6C70582A9A02}"/>
            </a:ext>
          </a:extLst>
        </xdr:cNvPr>
        <xdr:cNvSpPr/>
      </xdr:nvSpPr>
      <xdr:spPr>
        <a:xfrm>
          <a:off x="3457574" y="76200"/>
          <a:ext cx="1214073" cy="547688"/>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461963</xdr:colOff>
      <xdr:row>0</xdr:row>
      <xdr:rowOff>82061</xdr:rowOff>
    </xdr:from>
    <xdr:to>
      <xdr:col>10</xdr:col>
      <xdr:colOff>55881</xdr:colOff>
      <xdr:row>7</xdr:row>
      <xdr:rowOff>171450</xdr:rowOff>
    </xdr:to>
    <xdr:sp macro="" textlink="">
      <xdr:nvSpPr>
        <xdr:cNvPr id="9" name="Rectangle: Rounded Corners 8">
          <a:extLst>
            <a:ext uri="{FF2B5EF4-FFF2-40B4-BE49-F238E27FC236}">
              <a16:creationId xmlns:a16="http://schemas.microsoft.com/office/drawing/2014/main" id="{83DD22C3-D947-F621-6E8C-6BEB50F22A16}"/>
            </a:ext>
          </a:extLst>
        </xdr:cNvPr>
        <xdr:cNvSpPr/>
      </xdr:nvSpPr>
      <xdr:spPr>
        <a:xfrm>
          <a:off x="4729163" y="82061"/>
          <a:ext cx="1422718" cy="1369549"/>
        </a:xfrm>
        <a:prstGeom prst="roundRect">
          <a:avLst>
            <a:gd name="adj" fmla="val 632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52708</xdr:colOff>
      <xdr:row>3</xdr:row>
      <xdr:rowOff>147674</xdr:rowOff>
    </xdr:from>
    <xdr:to>
      <xdr:col>1</xdr:col>
      <xdr:colOff>187523</xdr:colOff>
      <xdr:row>17</xdr:row>
      <xdr:rowOff>11814</xdr:rowOff>
    </xdr:to>
    <xdr:sp macro="" textlink="">
      <xdr:nvSpPr>
        <xdr:cNvPr id="10" name="Rectangle: Rounded Corners 9">
          <a:extLst>
            <a:ext uri="{FF2B5EF4-FFF2-40B4-BE49-F238E27FC236}">
              <a16:creationId xmlns:a16="http://schemas.microsoft.com/office/drawing/2014/main" id="{BC0081D5-FDF5-3C74-289A-422B4E3E9C30}"/>
            </a:ext>
          </a:extLst>
        </xdr:cNvPr>
        <xdr:cNvSpPr/>
      </xdr:nvSpPr>
      <xdr:spPr>
        <a:xfrm>
          <a:off x="52708" y="697023"/>
          <a:ext cx="743234" cy="2427768"/>
        </a:xfrm>
        <a:prstGeom prst="roundRect">
          <a:avLst>
            <a:gd name="adj" fmla="val 578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246183</xdr:colOff>
      <xdr:row>3</xdr:row>
      <xdr:rowOff>146539</xdr:rowOff>
    </xdr:from>
    <xdr:to>
      <xdr:col>3</xdr:col>
      <xdr:colOff>257175</xdr:colOff>
      <xdr:row>7</xdr:row>
      <xdr:rowOff>175846</xdr:rowOff>
    </xdr:to>
    <xdr:sp macro="" textlink="Dashboard!$A$5">
      <xdr:nvSpPr>
        <xdr:cNvPr id="11" name="Rectangle: Rounded Corners 10">
          <a:extLst>
            <a:ext uri="{FF2B5EF4-FFF2-40B4-BE49-F238E27FC236}">
              <a16:creationId xmlns:a16="http://schemas.microsoft.com/office/drawing/2014/main" id="{C7BE86F8-F455-04E9-3D42-5A1E99480651}"/>
            </a:ext>
          </a:extLst>
        </xdr:cNvPr>
        <xdr:cNvSpPr/>
      </xdr:nvSpPr>
      <xdr:spPr>
        <a:xfrm>
          <a:off x="855783" y="689464"/>
          <a:ext cx="1230192" cy="753207"/>
        </a:xfrm>
        <a:prstGeom prst="roundRect">
          <a:avLst>
            <a:gd name="adj" fmla="val 578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39206DB-0932-43D3-B007-30BBD85490C7}" type="TxLink">
            <a:rPr lang="en-US" sz="1100" b="0" i="0" u="none" strike="noStrike">
              <a:solidFill>
                <a:srgbClr val="000000"/>
              </a:solidFill>
              <a:latin typeface="Aptos Narrow"/>
            </a:rPr>
            <a:pPr algn="l"/>
            <a:t> </a:t>
          </a:fld>
          <a:endParaRPr lang="en-IN" sz="1100"/>
        </a:p>
      </xdr:txBody>
    </xdr:sp>
    <xdr:clientData/>
  </xdr:twoCellAnchor>
  <xdr:twoCellAnchor editAs="absolute">
    <xdr:from>
      <xdr:col>3</xdr:col>
      <xdr:colOff>314325</xdr:colOff>
      <xdr:row>3</xdr:row>
      <xdr:rowOff>146539</xdr:rowOff>
    </xdr:from>
    <xdr:to>
      <xdr:col>5</xdr:col>
      <xdr:colOff>357188</xdr:colOff>
      <xdr:row>7</xdr:row>
      <xdr:rowOff>175846</xdr:rowOff>
    </xdr:to>
    <xdr:sp macro="" textlink="">
      <xdr:nvSpPr>
        <xdr:cNvPr id="12" name="Rectangle: Rounded Corners 11">
          <a:extLst>
            <a:ext uri="{FF2B5EF4-FFF2-40B4-BE49-F238E27FC236}">
              <a16:creationId xmlns:a16="http://schemas.microsoft.com/office/drawing/2014/main" id="{0E0404A8-8266-D551-D505-25202A2DAAEE}"/>
            </a:ext>
          </a:extLst>
        </xdr:cNvPr>
        <xdr:cNvSpPr/>
      </xdr:nvSpPr>
      <xdr:spPr>
        <a:xfrm>
          <a:off x="2143125" y="689464"/>
          <a:ext cx="1262063" cy="753207"/>
        </a:xfrm>
        <a:prstGeom prst="roundRect">
          <a:avLst>
            <a:gd name="adj" fmla="val 578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409575</xdr:colOff>
      <xdr:row>3</xdr:row>
      <xdr:rowOff>134815</xdr:rowOff>
    </xdr:from>
    <xdr:to>
      <xdr:col>7</xdr:col>
      <xdr:colOff>404447</xdr:colOff>
      <xdr:row>7</xdr:row>
      <xdr:rowOff>175846</xdr:rowOff>
    </xdr:to>
    <xdr:sp macro="" textlink="">
      <xdr:nvSpPr>
        <xdr:cNvPr id="13" name="Rectangle: Rounded Corners 12">
          <a:extLst>
            <a:ext uri="{FF2B5EF4-FFF2-40B4-BE49-F238E27FC236}">
              <a16:creationId xmlns:a16="http://schemas.microsoft.com/office/drawing/2014/main" id="{C0D1816E-ACE4-A55E-9887-D2B630A42DEB}"/>
            </a:ext>
          </a:extLst>
        </xdr:cNvPr>
        <xdr:cNvSpPr/>
      </xdr:nvSpPr>
      <xdr:spPr>
        <a:xfrm>
          <a:off x="3457575" y="677740"/>
          <a:ext cx="1214072" cy="764931"/>
        </a:xfrm>
        <a:prstGeom prst="roundRect">
          <a:avLst>
            <a:gd name="adj" fmla="val 578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246182</xdr:colOff>
      <xdr:row>11</xdr:row>
      <xdr:rowOff>138111</xdr:rowOff>
    </xdr:from>
    <xdr:to>
      <xdr:col>7</xdr:col>
      <xdr:colOff>404445</xdr:colOff>
      <xdr:row>17</xdr:row>
      <xdr:rowOff>6194</xdr:rowOff>
    </xdr:to>
    <xdr:sp macro="" textlink="">
      <xdr:nvSpPr>
        <xdr:cNvPr id="15" name="Rectangle: Rounded Corners 14">
          <a:extLst>
            <a:ext uri="{FF2B5EF4-FFF2-40B4-BE49-F238E27FC236}">
              <a16:creationId xmlns:a16="http://schemas.microsoft.com/office/drawing/2014/main" id="{36B0968E-C906-F868-C310-63618BAC9C76}"/>
            </a:ext>
          </a:extLst>
        </xdr:cNvPr>
        <xdr:cNvSpPr/>
      </xdr:nvSpPr>
      <xdr:spPr>
        <a:xfrm>
          <a:off x="853304" y="2182501"/>
          <a:ext cx="3800995" cy="983205"/>
        </a:xfrm>
        <a:prstGeom prst="roundRect">
          <a:avLst>
            <a:gd name="adj" fmla="val 578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10</xdr:col>
      <xdr:colOff>121921</xdr:colOff>
      <xdr:row>0</xdr:row>
      <xdr:rowOff>82061</xdr:rowOff>
    </xdr:from>
    <xdr:to>
      <xdr:col>12</xdr:col>
      <xdr:colOff>316525</xdr:colOff>
      <xdr:row>7</xdr:row>
      <xdr:rowOff>166688</xdr:rowOff>
    </xdr:to>
    <xdr:sp macro="" textlink="">
      <xdr:nvSpPr>
        <xdr:cNvPr id="22" name="Rectangle: Rounded Corners 21">
          <a:extLst>
            <a:ext uri="{FF2B5EF4-FFF2-40B4-BE49-F238E27FC236}">
              <a16:creationId xmlns:a16="http://schemas.microsoft.com/office/drawing/2014/main" id="{35459369-1EDF-CF73-8407-DB19D9143CA1}"/>
            </a:ext>
          </a:extLst>
        </xdr:cNvPr>
        <xdr:cNvSpPr/>
      </xdr:nvSpPr>
      <xdr:spPr>
        <a:xfrm>
          <a:off x="6217921" y="82061"/>
          <a:ext cx="1413804" cy="1364787"/>
        </a:xfrm>
        <a:prstGeom prst="roundRect">
          <a:avLst>
            <a:gd name="adj" fmla="val 632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461963</xdr:colOff>
      <xdr:row>8</xdr:row>
      <xdr:rowOff>52386</xdr:rowOff>
    </xdr:from>
    <xdr:to>
      <xdr:col>12</xdr:col>
      <xdr:colOff>316524</xdr:colOff>
      <xdr:row>17</xdr:row>
      <xdr:rowOff>6194</xdr:rowOff>
    </xdr:to>
    <xdr:sp macro="" textlink="">
      <xdr:nvSpPr>
        <xdr:cNvPr id="23" name="Rectangle: Rounded Corners 22">
          <a:extLst>
            <a:ext uri="{FF2B5EF4-FFF2-40B4-BE49-F238E27FC236}">
              <a16:creationId xmlns:a16="http://schemas.microsoft.com/office/drawing/2014/main" id="{8E1B92BB-0C61-8C6E-33F0-A261D5FABCCC}"/>
            </a:ext>
          </a:extLst>
        </xdr:cNvPr>
        <xdr:cNvSpPr/>
      </xdr:nvSpPr>
      <xdr:spPr>
        <a:xfrm>
          <a:off x="4720893" y="1517316"/>
          <a:ext cx="2896654" cy="1601855"/>
        </a:xfrm>
        <a:prstGeom prst="roundRect">
          <a:avLst>
            <a:gd name="adj" fmla="val 632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340954</xdr:colOff>
      <xdr:row>0</xdr:row>
      <xdr:rowOff>146538</xdr:rowOff>
    </xdr:from>
    <xdr:to>
      <xdr:col>5</xdr:col>
      <xdr:colOff>311646</xdr:colOff>
      <xdr:row>2</xdr:row>
      <xdr:rowOff>11722</xdr:rowOff>
    </xdr:to>
    <xdr:sp macro="" textlink="">
      <xdr:nvSpPr>
        <xdr:cNvPr id="27" name="TextBox 26">
          <a:extLst>
            <a:ext uri="{FF2B5EF4-FFF2-40B4-BE49-F238E27FC236}">
              <a16:creationId xmlns:a16="http://schemas.microsoft.com/office/drawing/2014/main" id="{719F224D-D11E-87FD-D183-653089A5AD47}"/>
            </a:ext>
          </a:extLst>
        </xdr:cNvPr>
        <xdr:cNvSpPr txBox="1"/>
      </xdr:nvSpPr>
      <xdr:spPr>
        <a:xfrm>
          <a:off x="950554" y="146538"/>
          <a:ext cx="2409092" cy="230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Hospital Emergency Room</a:t>
          </a:r>
          <a:r>
            <a:rPr lang="en-IN" sz="1200" baseline="0"/>
            <a:t> Dashboard</a:t>
          </a:r>
          <a:endParaRPr lang="en-IN" sz="1200"/>
        </a:p>
      </xdr:txBody>
    </xdr:sp>
    <xdr:clientData/>
  </xdr:twoCellAnchor>
  <xdr:twoCellAnchor editAs="oneCell">
    <xdr:from>
      <xdr:col>0</xdr:col>
      <xdr:colOff>117601</xdr:colOff>
      <xdr:row>0</xdr:row>
      <xdr:rowOff>23446</xdr:rowOff>
    </xdr:from>
    <xdr:to>
      <xdr:col>1</xdr:col>
      <xdr:colOff>217247</xdr:colOff>
      <xdr:row>3</xdr:row>
      <xdr:rowOff>117230</xdr:rowOff>
    </xdr:to>
    <xdr:pic>
      <xdr:nvPicPr>
        <xdr:cNvPr id="29" name="Picture 28">
          <a:extLst>
            <a:ext uri="{FF2B5EF4-FFF2-40B4-BE49-F238E27FC236}">
              <a16:creationId xmlns:a16="http://schemas.microsoft.com/office/drawing/2014/main" id="{D76B3C75-9CE8-3506-7273-9710CD5588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869" r="20027"/>
        <a:stretch>
          <a:fillRect/>
        </a:stretch>
      </xdr:blipFill>
      <xdr:spPr>
        <a:xfrm>
          <a:off x="117601" y="23446"/>
          <a:ext cx="709246" cy="636709"/>
        </a:xfrm>
        <a:prstGeom prst="rect">
          <a:avLst/>
        </a:prstGeom>
      </xdr:spPr>
    </xdr:pic>
    <xdr:clientData/>
  </xdr:twoCellAnchor>
  <xdr:twoCellAnchor>
    <xdr:from>
      <xdr:col>2</xdr:col>
      <xdr:colOff>486270</xdr:colOff>
      <xdr:row>2</xdr:row>
      <xdr:rowOff>10069</xdr:rowOff>
    </xdr:from>
    <xdr:to>
      <xdr:col>4</xdr:col>
      <xdr:colOff>40792</xdr:colOff>
      <xdr:row>3</xdr:row>
      <xdr:rowOff>15930</xdr:rowOff>
    </xdr:to>
    <xdr:sp macro="" textlink="">
      <xdr:nvSpPr>
        <xdr:cNvPr id="31" name="TextBox 30">
          <a:extLst>
            <a:ext uri="{FF2B5EF4-FFF2-40B4-BE49-F238E27FC236}">
              <a16:creationId xmlns:a16="http://schemas.microsoft.com/office/drawing/2014/main" id="{8AD8585A-29F3-406A-BA9B-E304AEF91547}"/>
            </a:ext>
          </a:extLst>
        </xdr:cNvPr>
        <xdr:cNvSpPr txBox="1"/>
      </xdr:nvSpPr>
      <xdr:spPr>
        <a:xfrm>
          <a:off x="1703107" y="376302"/>
          <a:ext cx="771359" cy="188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a:t>
          </a:r>
          <a:r>
            <a:rPr lang="en-IN" sz="900" baseline="0"/>
            <a:t> Report</a:t>
          </a:r>
          <a:endParaRPr lang="en-IN" sz="900"/>
        </a:p>
      </xdr:txBody>
    </xdr:sp>
    <xdr:clientData/>
  </xdr:twoCellAnchor>
  <xdr:twoCellAnchor>
    <xdr:from>
      <xdr:col>1</xdr:col>
      <xdr:colOff>468916</xdr:colOff>
      <xdr:row>3</xdr:row>
      <xdr:rowOff>181693</xdr:rowOff>
    </xdr:from>
    <xdr:to>
      <xdr:col>3</xdr:col>
      <xdr:colOff>23438</xdr:colOff>
      <xdr:row>5</xdr:row>
      <xdr:rowOff>5847</xdr:rowOff>
    </xdr:to>
    <xdr:sp macro="" textlink="'Pivot Report'!A5">
      <xdr:nvSpPr>
        <xdr:cNvPr id="32" name="TextBox 31">
          <a:extLst>
            <a:ext uri="{FF2B5EF4-FFF2-40B4-BE49-F238E27FC236}">
              <a16:creationId xmlns:a16="http://schemas.microsoft.com/office/drawing/2014/main" id="{D0829901-DA04-4CB2-B1D9-7FE3823B0E3E}"/>
            </a:ext>
          </a:extLst>
        </xdr:cNvPr>
        <xdr:cNvSpPr txBox="1"/>
      </xdr:nvSpPr>
      <xdr:spPr>
        <a:xfrm>
          <a:off x="1078516" y="730333"/>
          <a:ext cx="773722" cy="18991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78B6C1D-003F-464F-88C6-B10A04DCAE86}" type="TxLink">
            <a:rPr lang="en-US" sz="1100" b="0" i="0" u="none" strike="noStrike">
              <a:solidFill>
                <a:srgbClr val="000000"/>
              </a:solidFill>
              <a:latin typeface="Aptos Narrow"/>
            </a:rPr>
            <a:pPr algn="ctr"/>
            <a:t>479</a:t>
          </a:fld>
          <a:endParaRPr lang="en-IN" sz="900"/>
        </a:p>
      </xdr:txBody>
    </xdr:sp>
    <xdr:clientData/>
  </xdr:twoCellAnchor>
  <xdr:twoCellAnchor>
    <xdr:from>
      <xdr:col>1</xdr:col>
      <xdr:colOff>463055</xdr:colOff>
      <xdr:row>4</xdr:row>
      <xdr:rowOff>164104</xdr:rowOff>
    </xdr:from>
    <xdr:to>
      <xdr:col>3</xdr:col>
      <xdr:colOff>17577</xdr:colOff>
      <xdr:row>5</xdr:row>
      <xdr:rowOff>169966</xdr:rowOff>
    </xdr:to>
    <xdr:sp macro="" textlink="">
      <xdr:nvSpPr>
        <xdr:cNvPr id="33" name="TextBox 32">
          <a:extLst>
            <a:ext uri="{FF2B5EF4-FFF2-40B4-BE49-F238E27FC236}">
              <a16:creationId xmlns:a16="http://schemas.microsoft.com/office/drawing/2014/main" id="{B337A398-B80B-DC6A-E344-7F248A040869}"/>
            </a:ext>
          </a:extLst>
        </xdr:cNvPr>
        <xdr:cNvSpPr txBox="1"/>
      </xdr:nvSpPr>
      <xdr:spPr>
        <a:xfrm>
          <a:off x="1072655" y="890935"/>
          <a:ext cx="773722"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No.</a:t>
          </a:r>
          <a:r>
            <a:rPr lang="en-IN" sz="900" baseline="0"/>
            <a:t> of Patient</a:t>
          </a:r>
          <a:endParaRPr lang="en-IN" sz="900"/>
        </a:p>
      </xdr:txBody>
    </xdr:sp>
    <xdr:clientData/>
  </xdr:twoCellAnchor>
  <xdr:twoCellAnchor>
    <xdr:from>
      <xdr:col>3</xdr:col>
      <xdr:colOff>539264</xdr:colOff>
      <xdr:row>3</xdr:row>
      <xdr:rowOff>175835</xdr:rowOff>
    </xdr:from>
    <xdr:to>
      <xdr:col>5</xdr:col>
      <xdr:colOff>93786</xdr:colOff>
      <xdr:row>4</xdr:row>
      <xdr:rowOff>181696</xdr:rowOff>
    </xdr:to>
    <xdr:sp macro="" textlink="'Pivot Report'!A9">
      <xdr:nvSpPr>
        <xdr:cNvPr id="34" name="TextBox 33">
          <a:extLst>
            <a:ext uri="{FF2B5EF4-FFF2-40B4-BE49-F238E27FC236}">
              <a16:creationId xmlns:a16="http://schemas.microsoft.com/office/drawing/2014/main" id="{E960DA07-D618-AE7F-64FE-4664F55E8D09}"/>
            </a:ext>
          </a:extLst>
        </xdr:cNvPr>
        <xdr:cNvSpPr txBox="1"/>
      </xdr:nvSpPr>
      <xdr:spPr>
        <a:xfrm>
          <a:off x="2368064" y="720958"/>
          <a:ext cx="773722"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6478854-F24D-4EBB-B024-1A430DADD67E}" type="TxLink">
            <a:rPr lang="en-US" sz="1100" b="0" i="0" u="none" strike="noStrike">
              <a:solidFill>
                <a:srgbClr val="000000"/>
              </a:solidFill>
              <a:latin typeface="Aptos Narrow"/>
            </a:rPr>
            <a:pPr algn="ctr"/>
            <a:t>34.90</a:t>
          </a:fld>
          <a:endParaRPr lang="en-IN" sz="900"/>
        </a:p>
      </xdr:txBody>
    </xdr:sp>
    <xdr:clientData/>
  </xdr:twoCellAnchor>
  <xdr:twoCellAnchor>
    <xdr:from>
      <xdr:col>3</xdr:col>
      <xdr:colOff>515817</xdr:colOff>
      <xdr:row>4</xdr:row>
      <xdr:rowOff>158252</xdr:rowOff>
    </xdr:from>
    <xdr:to>
      <xdr:col>5</xdr:col>
      <xdr:colOff>70339</xdr:colOff>
      <xdr:row>5</xdr:row>
      <xdr:rowOff>164114</xdr:rowOff>
    </xdr:to>
    <xdr:sp macro="" textlink="">
      <xdr:nvSpPr>
        <xdr:cNvPr id="35" name="TextBox 34">
          <a:extLst>
            <a:ext uri="{FF2B5EF4-FFF2-40B4-BE49-F238E27FC236}">
              <a16:creationId xmlns:a16="http://schemas.microsoft.com/office/drawing/2014/main" id="{265F96D4-BC1D-1C90-A97C-AE19A446E565}"/>
            </a:ext>
          </a:extLst>
        </xdr:cNvPr>
        <xdr:cNvSpPr txBox="1"/>
      </xdr:nvSpPr>
      <xdr:spPr>
        <a:xfrm>
          <a:off x="2344617" y="885083"/>
          <a:ext cx="773722"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Avg.</a:t>
          </a:r>
          <a:r>
            <a:rPr lang="en-IN" sz="900" baseline="0"/>
            <a:t> Wait Time</a:t>
          </a:r>
          <a:endParaRPr lang="en-IN" sz="900"/>
        </a:p>
      </xdr:txBody>
    </xdr:sp>
    <xdr:clientData/>
  </xdr:twoCellAnchor>
  <xdr:twoCellAnchor>
    <xdr:from>
      <xdr:col>6</xdr:col>
      <xdr:colOff>17581</xdr:colOff>
      <xdr:row>3</xdr:row>
      <xdr:rowOff>146533</xdr:rowOff>
    </xdr:from>
    <xdr:to>
      <xdr:col>7</xdr:col>
      <xdr:colOff>181703</xdr:colOff>
      <xdr:row>4</xdr:row>
      <xdr:rowOff>152394</xdr:rowOff>
    </xdr:to>
    <xdr:sp macro="" textlink="'Pivot Report'!A13">
      <xdr:nvSpPr>
        <xdr:cNvPr id="36" name="TextBox 35">
          <a:extLst>
            <a:ext uri="{FF2B5EF4-FFF2-40B4-BE49-F238E27FC236}">
              <a16:creationId xmlns:a16="http://schemas.microsoft.com/office/drawing/2014/main" id="{FF6596D5-B5C7-1E67-D144-1DF83A95838F}"/>
            </a:ext>
          </a:extLst>
        </xdr:cNvPr>
        <xdr:cNvSpPr txBox="1"/>
      </xdr:nvSpPr>
      <xdr:spPr>
        <a:xfrm>
          <a:off x="3675181" y="691656"/>
          <a:ext cx="773722" cy="18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90705EC-01DF-4076-9864-B2829DCAAC18}" type="TxLink">
            <a:rPr lang="en-US" sz="1100" b="0" i="0" u="none" strike="noStrike">
              <a:solidFill>
                <a:srgbClr val="000000"/>
              </a:solidFill>
              <a:latin typeface="Aptos Narrow"/>
            </a:rPr>
            <a:pPr algn="ctr"/>
            <a:t>5.30</a:t>
          </a:fld>
          <a:endParaRPr lang="en-IN" sz="900"/>
        </a:p>
      </xdr:txBody>
    </xdr:sp>
    <xdr:clientData/>
  </xdr:twoCellAnchor>
  <xdr:twoCellAnchor>
    <xdr:from>
      <xdr:col>5</xdr:col>
      <xdr:colOff>427897</xdr:colOff>
      <xdr:row>4</xdr:row>
      <xdr:rowOff>156063</xdr:rowOff>
    </xdr:from>
    <xdr:to>
      <xdr:col>7</xdr:col>
      <xdr:colOff>398589</xdr:colOff>
      <xdr:row>6</xdr:row>
      <xdr:rowOff>4397</xdr:rowOff>
    </xdr:to>
    <xdr:sp macro="" textlink="">
      <xdr:nvSpPr>
        <xdr:cNvPr id="37" name="TextBox 36">
          <a:extLst>
            <a:ext uri="{FF2B5EF4-FFF2-40B4-BE49-F238E27FC236}">
              <a16:creationId xmlns:a16="http://schemas.microsoft.com/office/drawing/2014/main" id="{4E271C7D-CA78-B73F-D028-2B9035F686C2}"/>
            </a:ext>
          </a:extLst>
        </xdr:cNvPr>
        <xdr:cNvSpPr txBox="1"/>
      </xdr:nvSpPr>
      <xdr:spPr>
        <a:xfrm>
          <a:off x="3475897" y="879963"/>
          <a:ext cx="1189892" cy="210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Patient</a:t>
          </a:r>
          <a:r>
            <a:rPr lang="en-IN" sz="900" baseline="0"/>
            <a:t> Satisfaction Score</a:t>
          </a:r>
          <a:endParaRPr lang="en-IN" sz="900"/>
        </a:p>
      </xdr:txBody>
    </xdr:sp>
    <xdr:clientData/>
  </xdr:twoCellAnchor>
  <xdr:twoCellAnchor editAs="oneCell">
    <xdr:from>
      <xdr:col>3</xdr:col>
      <xdr:colOff>20075</xdr:colOff>
      <xdr:row>3</xdr:row>
      <xdr:rowOff>139749</xdr:rowOff>
    </xdr:from>
    <xdr:to>
      <xdr:col>3</xdr:col>
      <xdr:colOff>269704</xdr:colOff>
      <xdr:row>5</xdr:row>
      <xdr:rowOff>25401</xdr:rowOff>
    </xdr:to>
    <xdr:pic>
      <xdr:nvPicPr>
        <xdr:cNvPr id="39" name="Graphic 38" descr="User with solid fill">
          <a:extLst>
            <a:ext uri="{FF2B5EF4-FFF2-40B4-BE49-F238E27FC236}">
              <a16:creationId xmlns:a16="http://schemas.microsoft.com/office/drawing/2014/main" id="{02EE9536-0D8C-6B38-74BB-85D6865CA01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48875" y="688389"/>
          <a:ext cx="249629" cy="251412"/>
        </a:xfrm>
        <a:prstGeom prst="rect">
          <a:avLst/>
        </a:prstGeom>
      </xdr:spPr>
    </xdr:pic>
    <xdr:clientData/>
  </xdr:twoCellAnchor>
  <xdr:twoCellAnchor editAs="oneCell">
    <xdr:from>
      <xdr:col>7</xdr:col>
      <xdr:colOff>112481</xdr:colOff>
      <xdr:row>3</xdr:row>
      <xdr:rowOff>114099</xdr:rowOff>
    </xdr:from>
    <xdr:to>
      <xdr:col>7</xdr:col>
      <xdr:colOff>418144</xdr:colOff>
      <xdr:row>5</xdr:row>
      <xdr:rowOff>55880</xdr:rowOff>
    </xdr:to>
    <xdr:pic>
      <xdr:nvPicPr>
        <xdr:cNvPr id="41" name="Graphic 40" descr="Rating with solid fill">
          <a:extLst>
            <a:ext uri="{FF2B5EF4-FFF2-40B4-BE49-F238E27FC236}">
              <a16:creationId xmlns:a16="http://schemas.microsoft.com/office/drawing/2014/main" id="{E5DFC640-82BE-4F02-0F21-3108BDD8ED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79681" y="662739"/>
          <a:ext cx="305663" cy="307541"/>
        </a:xfrm>
        <a:prstGeom prst="rect">
          <a:avLst/>
        </a:prstGeom>
      </xdr:spPr>
    </xdr:pic>
    <xdr:clientData/>
  </xdr:twoCellAnchor>
  <xdr:twoCellAnchor editAs="oneCell">
    <xdr:from>
      <xdr:col>5</xdr:col>
      <xdr:colOff>142240</xdr:colOff>
      <xdr:row>3</xdr:row>
      <xdr:rowOff>157794</xdr:rowOff>
    </xdr:from>
    <xdr:to>
      <xdr:col>5</xdr:col>
      <xdr:colOff>368892</xdr:colOff>
      <xdr:row>5</xdr:row>
      <xdr:rowOff>20615</xdr:rowOff>
    </xdr:to>
    <xdr:pic>
      <xdr:nvPicPr>
        <xdr:cNvPr id="43" name="Graphic 42" descr="Hourglass 30% with solid fill">
          <a:extLst>
            <a:ext uri="{FF2B5EF4-FFF2-40B4-BE49-F238E27FC236}">
              <a16:creationId xmlns:a16="http://schemas.microsoft.com/office/drawing/2014/main" id="{1D981B09-0F72-32F6-403D-8FE10D4678F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90240" y="706434"/>
          <a:ext cx="226652" cy="228581"/>
        </a:xfrm>
        <a:prstGeom prst="rect">
          <a:avLst/>
        </a:prstGeom>
      </xdr:spPr>
    </xdr:pic>
    <xdr:clientData/>
  </xdr:twoCellAnchor>
  <xdr:twoCellAnchor editAs="oneCell">
    <xdr:from>
      <xdr:col>0</xdr:col>
      <xdr:colOff>53165</xdr:colOff>
      <xdr:row>4</xdr:row>
      <xdr:rowOff>70885</xdr:rowOff>
    </xdr:from>
    <xdr:to>
      <xdr:col>1</xdr:col>
      <xdr:colOff>171303</xdr:colOff>
      <xdr:row>16</xdr:row>
      <xdr:rowOff>118140</xdr:rowOff>
    </xdr:to>
    <mc:AlternateContent xmlns:mc="http://schemas.openxmlformats.org/markup-compatibility/2006">
      <mc:Choice xmlns:a14="http://schemas.microsoft.com/office/drawing/2010/main" Requires="a14">
        <xdr:graphicFrame macro="">
          <xdr:nvGraphicFramePr>
            <xdr:cNvPr id="44" name="Date (Month)">
              <a:extLst>
                <a:ext uri="{FF2B5EF4-FFF2-40B4-BE49-F238E27FC236}">
                  <a16:creationId xmlns:a16="http://schemas.microsoft.com/office/drawing/2014/main" id="{DCCBA683-0F40-451C-B19F-7894777D85B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3165" y="803350"/>
              <a:ext cx="726557" cy="2244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269240</xdr:colOff>
      <xdr:row>6</xdr:row>
      <xdr:rowOff>50800</xdr:rowOff>
    </xdr:from>
    <xdr:to>
      <xdr:col>3</xdr:col>
      <xdr:colOff>223520</xdr:colOff>
      <xdr:row>7</xdr:row>
      <xdr:rowOff>142240</xdr:rowOff>
    </xdr:to>
    <xdr:graphicFrame macro="">
      <xdr:nvGraphicFramePr>
        <xdr:cNvPr id="45" name="Chart 44">
          <a:hlinkClick xmlns:r="http://schemas.openxmlformats.org/officeDocument/2006/relationships" r:id="rId8"/>
          <a:extLst>
            <a:ext uri="{FF2B5EF4-FFF2-40B4-BE49-F238E27FC236}">
              <a16:creationId xmlns:a16="http://schemas.microsoft.com/office/drawing/2014/main" id="{0C05DA7B-B1B9-41F3-84F1-B8EC66D11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211809</xdr:colOff>
      <xdr:row>5</xdr:row>
      <xdr:rowOff>142875</xdr:rowOff>
    </xdr:from>
    <xdr:to>
      <xdr:col>5</xdr:col>
      <xdr:colOff>457200</xdr:colOff>
      <xdr:row>8</xdr:row>
      <xdr:rowOff>105495</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6F4A9F38-9225-492E-9127-12BD1C568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442276</xdr:colOff>
      <xdr:row>5</xdr:row>
      <xdr:rowOff>151764</xdr:rowOff>
    </xdr:from>
    <xdr:to>
      <xdr:col>7</xdr:col>
      <xdr:colOff>366077</xdr:colOff>
      <xdr:row>7</xdr:row>
      <xdr:rowOff>156527</xdr:rowOff>
    </xdr:to>
    <xdr:graphicFrame macro="">
      <xdr:nvGraphicFramePr>
        <xdr:cNvPr id="47" name="Chart 46">
          <a:hlinkClick xmlns:r="http://schemas.openxmlformats.org/officeDocument/2006/relationships" r:id="rId12"/>
          <a:extLst>
            <a:ext uri="{FF2B5EF4-FFF2-40B4-BE49-F238E27FC236}">
              <a16:creationId xmlns:a16="http://schemas.microsoft.com/office/drawing/2014/main" id="{51D7117C-01F8-419A-9FF3-CF902E614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241361</xdr:colOff>
          <xdr:row>8</xdr:row>
          <xdr:rowOff>58295</xdr:rowOff>
        </xdr:from>
        <xdr:to>
          <xdr:col>7</xdr:col>
          <xdr:colOff>405063</xdr:colOff>
          <xdr:row>11</xdr:row>
          <xdr:rowOff>65915</xdr:rowOff>
        </xdr:to>
        <xdr:pic>
          <xdr:nvPicPr>
            <xdr:cNvPr id="25" name="Picture 24">
              <a:extLst>
                <a:ext uri="{FF2B5EF4-FFF2-40B4-BE49-F238E27FC236}">
                  <a16:creationId xmlns:a16="http://schemas.microsoft.com/office/drawing/2014/main" id="{4422D03C-2BD9-BD5A-5437-255BC28FE151}"/>
                </a:ext>
              </a:extLst>
            </xdr:cNvPr>
            <xdr:cNvPicPr>
              <a:picLocks noChangeAspect="1" noChangeArrowheads="1"/>
              <a:extLst>
                <a:ext uri="{84589F7E-364E-4C9E-8A38-B11213B215E9}">
                  <a14:cameraTool cellRange="'Pivot Report'!$A$47:$D$49" spid="_x0000_s1054"/>
                </a:ext>
              </a:extLst>
            </xdr:cNvPicPr>
          </xdr:nvPicPr>
          <xdr:blipFill>
            <a:blip xmlns:r="http://schemas.openxmlformats.org/officeDocument/2006/relationships" r:embed="rId14">
              <a:alphaModFix/>
            </a:blip>
            <a:srcRect/>
            <a:stretch>
              <a:fillRect/>
            </a:stretch>
          </xdr:blipFill>
          <xdr:spPr bwMode="auto">
            <a:xfrm>
              <a:off x="850961" y="1534169"/>
              <a:ext cx="3821302" cy="561072"/>
            </a:xfrm>
            <a:prstGeom prst="roundRect">
              <a:avLst>
                <a:gd name="adj" fmla="val 8594"/>
              </a:avLst>
            </a:prstGeom>
            <a:solidFill>
              <a:srgbClr val="FFFFFF">
                <a:shade val="85000"/>
              </a:srgbClr>
            </a:solidFill>
            <a:ln>
              <a:noFill/>
            </a:ln>
            <a:effectLst/>
          </xdr:spPr>
        </xdr:pic>
        <xdr:clientData/>
      </xdr:twoCellAnchor>
    </mc:Choice>
    <mc:Fallback/>
  </mc:AlternateContent>
  <xdr:twoCellAnchor>
    <xdr:from>
      <xdr:col>1</xdr:col>
      <xdr:colOff>390293</xdr:colOff>
      <xdr:row>11</xdr:row>
      <xdr:rowOff>154877</xdr:rowOff>
    </xdr:from>
    <xdr:to>
      <xdr:col>7</xdr:col>
      <xdr:colOff>223026</xdr:colOff>
      <xdr:row>15</xdr:row>
      <xdr:rowOff>177209</xdr:rowOff>
    </xdr:to>
    <xdr:graphicFrame macro="">
      <xdr:nvGraphicFramePr>
        <xdr:cNvPr id="26" name="Chart 25">
          <a:extLst>
            <a:ext uri="{FF2B5EF4-FFF2-40B4-BE49-F238E27FC236}">
              <a16:creationId xmlns:a16="http://schemas.microsoft.com/office/drawing/2014/main" id="{218545EC-F6A9-4D67-9860-C356487B7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128476</xdr:colOff>
      <xdr:row>15</xdr:row>
      <xdr:rowOff>120678</xdr:rowOff>
    </xdr:from>
    <xdr:to>
      <xdr:col>5</xdr:col>
      <xdr:colOff>501807</xdr:colOff>
      <xdr:row>16</xdr:row>
      <xdr:rowOff>159489</xdr:rowOff>
    </xdr:to>
    <xdr:sp macro="" textlink="">
      <xdr:nvSpPr>
        <xdr:cNvPr id="28" name="TextBox 27">
          <a:extLst>
            <a:ext uri="{FF2B5EF4-FFF2-40B4-BE49-F238E27FC236}">
              <a16:creationId xmlns:a16="http://schemas.microsoft.com/office/drawing/2014/main" id="{D15B0550-76E9-4DB0-9949-36A7EFFF64E2}"/>
            </a:ext>
          </a:extLst>
        </xdr:cNvPr>
        <xdr:cNvSpPr txBox="1"/>
      </xdr:nvSpPr>
      <xdr:spPr>
        <a:xfrm>
          <a:off x="1953732" y="2867422"/>
          <a:ext cx="1590168" cy="221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No.</a:t>
          </a:r>
          <a:r>
            <a:rPr lang="en-IN" sz="1000" baseline="0"/>
            <a:t> of Patient by Age group</a:t>
          </a:r>
          <a:endParaRPr lang="en-IN" sz="1000"/>
        </a:p>
      </xdr:txBody>
    </xdr:sp>
    <xdr:clientData/>
  </xdr:twoCellAnchor>
  <xdr:twoCellAnchor>
    <xdr:from>
      <xdr:col>7</xdr:col>
      <xdr:colOff>473993</xdr:colOff>
      <xdr:row>0</xdr:row>
      <xdr:rowOff>89663</xdr:rowOff>
    </xdr:from>
    <xdr:to>
      <xdr:col>10</xdr:col>
      <xdr:colOff>41349</xdr:colOff>
      <xdr:row>7</xdr:row>
      <xdr:rowOff>16329</xdr:rowOff>
    </xdr:to>
    <xdr:graphicFrame macro="">
      <xdr:nvGraphicFramePr>
        <xdr:cNvPr id="30" name="Chart 29">
          <a:extLst>
            <a:ext uri="{FF2B5EF4-FFF2-40B4-BE49-F238E27FC236}">
              <a16:creationId xmlns:a16="http://schemas.microsoft.com/office/drawing/2014/main" id="{4AD905C6-7F49-455C-9B19-3F609EF44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500727</xdr:colOff>
      <xdr:row>6</xdr:row>
      <xdr:rowOff>149677</xdr:rowOff>
    </xdr:from>
    <xdr:to>
      <xdr:col>10</xdr:col>
      <xdr:colOff>76184</xdr:colOff>
      <xdr:row>7</xdr:row>
      <xdr:rowOff>157842</xdr:rowOff>
    </xdr:to>
    <xdr:sp macro="" textlink="">
      <xdr:nvSpPr>
        <xdr:cNvPr id="38" name="TextBox 37">
          <a:extLst>
            <a:ext uri="{FF2B5EF4-FFF2-40B4-BE49-F238E27FC236}">
              <a16:creationId xmlns:a16="http://schemas.microsoft.com/office/drawing/2014/main" id="{2A9C7766-F73C-00DA-9A9C-9B65C0288DC6}"/>
            </a:ext>
          </a:extLst>
        </xdr:cNvPr>
        <xdr:cNvSpPr txBox="1"/>
      </xdr:nvSpPr>
      <xdr:spPr>
        <a:xfrm>
          <a:off x="4767927" y="1260020"/>
          <a:ext cx="1404257" cy="193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dk1"/>
              </a:solidFill>
              <a:effectLst/>
              <a:latin typeface="+mn-lt"/>
              <a:ea typeface="+mn-ea"/>
              <a:cs typeface="+mn-cs"/>
            </a:rPr>
            <a:t>Patients attended within time</a:t>
          </a:r>
          <a:endParaRPr lang="en-IN" sz="800"/>
        </a:p>
      </xdr:txBody>
    </xdr:sp>
    <xdr:clientData/>
  </xdr:twoCellAnchor>
  <xdr:oneCellAnchor>
    <xdr:from>
      <xdr:col>12</xdr:col>
      <xdr:colOff>103414</xdr:colOff>
      <xdr:row>7</xdr:row>
      <xdr:rowOff>21771</xdr:rowOff>
    </xdr:from>
    <xdr:ext cx="184731" cy="264560"/>
    <xdr:sp macro="" textlink="">
      <xdr:nvSpPr>
        <xdr:cNvPr id="40" name="TextBox 39">
          <a:extLst>
            <a:ext uri="{FF2B5EF4-FFF2-40B4-BE49-F238E27FC236}">
              <a16:creationId xmlns:a16="http://schemas.microsoft.com/office/drawing/2014/main" id="{40ED5D27-C11E-8668-94A9-2781271F8682}"/>
            </a:ext>
          </a:extLst>
        </xdr:cNvPr>
        <xdr:cNvSpPr txBox="1"/>
      </xdr:nvSpPr>
      <xdr:spPr>
        <a:xfrm>
          <a:off x="7418614" y="13171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135860</xdr:colOff>
      <xdr:row>0</xdr:row>
      <xdr:rowOff>141130</xdr:rowOff>
    </xdr:from>
    <xdr:to>
      <xdr:col>12</xdr:col>
      <xdr:colOff>295349</xdr:colOff>
      <xdr:row>7</xdr:row>
      <xdr:rowOff>5907</xdr:rowOff>
    </xdr:to>
    <xdr:graphicFrame macro="">
      <xdr:nvGraphicFramePr>
        <xdr:cNvPr id="42" name="Chart 41">
          <a:extLst>
            <a:ext uri="{FF2B5EF4-FFF2-40B4-BE49-F238E27FC236}">
              <a16:creationId xmlns:a16="http://schemas.microsoft.com/office/drawing/2014/main" id="{CBB8C8CD-29F4-4E39-BA4C-308B33486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355637</xdr:colOff>
      <xdr:row>7</xdr:row>
      <xdr:rowOff>16944</xdr:rowOff>
    </xdr:from>
    <xdr:to>
      <xdr:col>12</xdr:col>
      <xdr:colOff>64977</xdr:colOff>
      <xdr:row>7</xdr:row>
      <xdr:rowOff>129954</xdr:rowOff>
    </xdr:to>
    <xdr:sp macro="" textlink="">
      <xdr:nvSpPr>
        <xdr:cNvPr id="49" name="TextBox 48">
          <a:extLst>
            <a:ext uri="{FF2B5EF4-FFF2-40B4-BE49-F238E27FC236}">
              <a16:creationId xmlns:a16="http://schemas.microsoft.com/office/drawing/2014/main" id="{224CB2D6-4B29-4997-852B-955E14888F22}"/>
            </a:ext>
          </a:extLst>
        </xdr:cNvPr>
        <xdr:cNvSpPr txBox="1"/>
      </xdr:nvSpPr>
      <xdr:spPr>
        <a:xfrm>
          <a:off x="6439823" y="1298758"/>
          <a:ext cx="926177" cy="113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Gender wise</a:t>
          </a:r>
          <a:r>
            <a:rPr lang="en-IN" sz="800" baseline="0"/>
            <a:t> analysis</a:t>
          </a:r>
          <a:endParaRPr lang="en-IN" sz="800"/>
        </a:p>
      </xdr:txBody>
    </xdr:sp>
    <xdr:clientData/>
  </xdr:twoCellAnchor>
  <xdr:twoCellAnchor>
    <xdr:from>
      <xdr:col>7</xdr:col>
      <xdr:colOff>549349</xdr:colOff>
      <xdr:row>8</xdr:row>
      <xdr:rowOff>135860</xdr:rowOff>
    </xdr:from>
    <xdr:to>
      <xdr:col>12</xdr:col>
      <xdr:colOff>230372</xdr:colOff>
      <xdr:row>16</xdr:row>
      <xdr:rowOff>129953</xdr:rowOff>
    </xdr:to>
    <xdr:graphicFrame macro="">
      <xdr:nvGraphicFramePr>
        <xdr:cNvPr id="50" name="Chart 49">
          <a:extLst>
            <a:ext uri="{FF2B5EF4-FFF2-40B4-BE49-F238E27FC236}">
              <a16:creationId xmlns:a16="http://schemas.microsoft.com/office/drawing/2014/main" id="{2FF4ED56-55A8-41B6-8AA0-4EEC94B68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480000</xdr:colOff>
      <xdr:row>0</xdr:row>
      <xdr:rowOff>102093</xdr:rowOff>
    </xdr:from>
    <xdr:to>
      <xdr:col>7</xdr:col>
      <xdr:colOff>343163</xdr:colOff>
      <xdr:row>3</xdr:row>
      <xdr:rowOff>59070</xdr:rowOff>
    </xdr:to>
    <mc:AlternateContent xmlns:mc="http://schemas.openxmlformats.org/markup-compatibility/2006" xmlns:a14="http://schemas.microsoft.com/office/drawing/2010/main">
      <mc:Choice Requires="a14">
        <xdr:graphicFrame macro="">
          <xdr:nvGraphicFramePr>
            <xdr:cNvPr id="51" name="Date (Year)">
              <a:extLst>
                <a:ext uri="{FF2B5EF4-FFF2-40B4-BE49-F238E27FC236}">
                  <a16:creationId xmlns:a16="http://schemas.microsoft.com/office/drawing/2014/main" id="{A246A8D2-B16F-4944-8B30-4AC3E727E9E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22093" y="102093"/>
              <a:ext cx="1080000" cy="506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0.14447</cdr:x>
      <cdr:y>0.88259</cdr:y>
    </cdr:from>
    <cdr:to>
      <cdr:x>0.85249</cdr:x>
      <cdr:y>1</cdr:y>
    </cdr:to>
    <cdr:sp macro="" textlink="">
      <cdr:nvSpPr>
        <cdr:cNvPr id="2" name="TextBox 48">
          <a:extLst xmlns:a="http://schemas.openxmlformats.org/drawingml/2006/main">
            <a:ext uri="{FF2B5EF4-FFF2-40B4-BE49-F238E27FC236}">
              <a16:creationId xmlns:a16="http://schemas.microsoft.com/office/drawing/2014/main" id="{224CB2D6-4B29-4997-852B-955E14888F22}"/>
            </a:ext>
          </a:extLst>
        </cdr:cNvPr>
        <cdr:cNvSpPr txBox="1"/>
      </cdr:nvSpPr>
      <cdr:spPr>
        <a:xfrm xmlns:a="http://schemas.openxmlformats.org/drawingml/2006/main">
          <a:off x="393406" y="1287721"/>
          <a:ext cx="1928036" cy="17130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a:t>No.</a:t>
          </a:r>
          <a:r>
            <a:rPr lang="en-IN" sz="900" baseline="0"/>
            <a:t> of Patients by department referal</a:t>
          </a:r>
          <a:endParaRPr lang="en-IN" sz="9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16</xdr:col>
      <xdr:colOff>38100</xdr:colOff>
      <xdr:row>16</xdr:row>
      <xdr:rowOff>175260</xdr:rowOff>
    </xdr:to>
    <xdr:graphicFrame macro="">
      <xdr:nvGraphicFramePr>
        <xdr:cNvPr id="2" name="Chart 1">
          <a:extLst>
            <a:ext uri="{FF2B5EF4-FFF2-40B4-BE49-F238E27FC236}">
              <a16:creationId xmlns:a16="http://schemas.microsoft.com/office/drawing/2014/main" id="{69BC0AAE-2D7B-4791-9C53-E465A1722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17</xdr:row>
      <xdr:rowOff>0</xdr:rowOff>
    </xdr:from>
    <xdr:to>
      <xdr:col>14</xdr:col>
      <xdr:colOff>281940</xdr:colOff>
      <xdr:row>18</xdr:row>
      <xdr:rowOff>76200</xdr:rowOff>
    </xdr:to>
    <xdr:sp macro="" textlink="">
      <xdr:nvSpPr>
        <xdr:cNvPr id="3" name="TextBox 2">
          <a:extLst>
            <a:ext uri="{FF2B5EF4-FFF2-40B4-BE49-F238E27FC236}">
              <a16:creationId xmlns:a16="http://schemas.microsoft.com/office/drawing/2014/main" id="{34C5AC07-1933-0324-13C4-847E09DEC527}"/>
            </a:ext>
          </a:extLst>
        </xdr:cNvPr>
        <xdr:cNvSpPr txBox="1"/>
      </xdr:nvSpPr>
      <xdr:spPr>
        <a:xfrm>
          <a:off x="1783080" y="3108960"/>
          <a:ext cx="7033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effectLst/>
            </a:rPr>
            <a:t>Daily trend</a:t>
          </a:r>
          <a:r>
            <a:rPr lang="en-US" sz="1400" baseline="0">
              <a:effectLst/>
            </a:rPr>
            <a:t> line with data markers </a:t>
          </a:r>
          <a:r>
            <a:rPr lang="en-US" sz="1400">
              <a:effectLst/>
            </a:rPr>
            <a:t>to spot patterns like busy days or seasonal trends.</a:t>
          </a:r>
          <a:endParaRPr lang="en-IN" sz="1400">
            <a:effectLst/>
          </a:endParaRPr>
        </a:p>
        <a:p>
          <a:endParaRPr lang="en-IN" sz="1400"/>
        </a:p>
      </xdr:txBody>
    </xdr:sp>
    <xdr:clientData/>
  </xdr:twoCellAnchor>
  <xdr:twoCellAnchor editAs="oneCell">
    <xdr:from>
      <xdr:col>15</xdr:col>
      <xdr:colOff>236220</xdr:colOff>
      <xdr:row>0</xdr:row>
      <xdr:rowOff>30480</xdr:rowOff>
    </xdr:from>
    <xdr:to>
      <xdr:col>16</xdr:col>
      <xdr:colOff>15240</xdr:colOff>
      <xdr:row>2</xdr:row>
      <xdr:rowOff>53340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68CA6951-2CBB-CA7D-1C1E-CF07094B20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80220" y="30480"/>
          <a:ext cx="388620" cy="388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0</xdr:rowOff>
    </xdr:from>
    <xdr:to>
      <xdr:col>15</xdr:col>
      <xdr:colOff>601980</xdr:colOff>
      <xdr:row>16</xdr:row>
      <xdr:rowOff>175260</xdr:rowOff>
    </xdr:to>
    <xdr:graphicFrame macro="">
      <xdr:nvGraphicFramePr>
        <xdr:cNvPr id="5" name="Chart 4">
          <a:extLst>
            <a:ext uri="{FF2B5EF4-FFF2-40B4-BE49-F238E27FC236}">
              <a16:creationId xmlns:a16="http://schemas.microsoft.com/office/drawing/2014/main" id="{85A9CEAC-CF7F-4808-A380-B28D6A0EF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434340</xdr:colOff>
      <xdr:row>17</xdr:row>
      <xdr:rowOff>0</xdr:rowOff>
    </xdr:from>
    <xdr:to>
      <xdr:col>15</xdr:col>
      <xdr:colOff>243840</xdr:colOff>
      <xdr:row>18</xdr:row>
      <xdr:rowOff>76200</xdr:rowOff>
    </xdr:to>
    <xdr:sp macro="" textlink="">
      <xdr:nvSpPr>
        <xdr:cNvPr id="6" name="TextBox 5">
          <a:extLst>
            <a:ext uri="{FF2B5EF4-FFF2-40B4-BE49-F238E27FC236}">
              <a16:creationId xmlns:a16="http://schemas.microsoft.com/office/drawing/2014/main" id="{5F37429A-646F-45E3-ACB5-58AE49474B86}"/>
            </a:ext>
          </a:extLst>
        </xdr:cNvPr>
        <xdr:cNvSpPr txBox="1"/>
      </xdr:nvSpPr>
      <xdr:spPr>
        <a:xfrm>
          <a:off x="434340" y="3108960"/>
          <a:ext cx="8953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effectLst/>
            </a:rPr>
            <a:t>Daily</a:t>
          </a:r>
          <a:r>
            <a:rPr lang="en-US" sz="1400" baseline="0">
              <a:effectLst/>
            </a:rPr>
            <a:t> average wait time trend </a:t>
          </a:r>
          <a:r>
            <a:rPr lang="en-US" sz="1400">
              <a:effectLst/>
            </a:rPr>
            <a:t>to track daily changes and highlight days with longer wait times that might need improvements.</a:t>
          </a:r>
          <a:endParaRPr lang="en-IN" sz="1400">
            <a:effectLst/>
          </a:endParaRPr>
        </a:p>
        <a:p>
          <a:endParaRPr lang="en-IN" sz="1400"/>
        </a:p>
      </xdr:txBody>
    </xdr:sp>
    <xdr:clientData/>
  </xdr:twoCellAnchor>
  <xdr:twoCellAnchor editAs="oneCell">
    <xdr:from>
      <xdr:col>15</xdr:col>
      <xdr:colOff>144780</xdr:colOff>
      <xdr:row>0</xdr:row>
      <xdr:rowOff>38100</xdr:rowOff>
    </xdr:from>
    <xdr:to>
      <xdr:col>15</xdr:col>
      <xdr:colOff>556260</xdr:colOff>
      <xdr:row>2</xdr:row>
      <xdr:rowOff>83820</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30B04DE6-15CA-3F16-8318-ECDE6E8C85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88780" y="38100"/>
          <a:ext cx="411480" cy="411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480060</xdr:colOff>
      <xdr:row>17</xdr:row>
      <xdr:rowOff>0</xdr:rowOff>
    </xdr:from>
    <xdr:to>
      <xdr:col>15</xdr:col>
      <xdr:colOff>289560</xdr:colOff>
      <xdr:row>18</xdr:row>
      <xdr:rowOff>76200</xdr:rowOff>
    </xdr:to>
    <xdr:sp macro="" textlink="">
      <xdr:nvSpPr>
        <xdr:cNvPr id="3" name="TextBox 2">
          <a:extLst>
            <a:ext uri="{FF2B5EF4-FFF2-40B4-BE49-F238E27FC236}">
              <a16:creationId xmlns:a16="http://schemas.microsoft.com/office/drawing/2014/main" id="{83F2EE75-4A38-405D-91CA-260775C49DC9}"/>
            </a:ext>
          </a:extLst>
        </xdr:cNvPr>
        <xdr:cNvSpPr txBox="1"/>
      </xdr:nvSpPr>
      <xdr:spPr>
        <a:xfrm>
          <a:off x="480060" y="3108960"/>
          <a:ext cx="8953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effectLst/>
            </a:rPr>
            <a:t>Daily customer satisfaction trend line to show trends, spot drops in satisfaction, and link them to busy times or challenges.</a:t>
          </a:r>
          <a:endParaRPr lang="en-IN" sz="1400">
            <a:effectLst/>
          </a:endParaRPr>
        </a:p>
        <a:p>
          <a:endParaRPr lang="en-IN" sz="1400"/>
        </a:p>
      </xdr:txBody>
    </xdr:sp>
    <xdr:clientData/>
  </xdr:twoCellAnchor>
  <xdr:twoCellAnchor>
    <xdr:from>
      <xdr:col>0</xdr:col>
      <xdr:colOff>0</xdr:colOff>
      <xdr:row>0</xdr:row>
      <xdr:rowOff>15240</xdr:rowOff>
    </xdr:from>
    <xdr:to>
      <xdr:col>16</xdr:col>
      <xdr:colOff>38100</xdr:colOff>
      <xdr:row>17</xdr:row>
      <xdr:rowOff>15240</xdr:rowOff>
    </xdr:to>
    <xdr:graphicFrame macro="">
      <xdr:nvGraphicFramePr>
        <xdr:cNvPr id="6" name="Chart 5">
          <a:extLst>
            <a:ext uri="{FF2B5EF4-FFF2-40B4-BE49-F238E27FC236}">
              <a16:creationId xmlns:a16="http://schemas.microsoft.com/office/drawing/2014/main" id="{1D039751-8D62-48BC-BCC2-30AB9B21A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160020</xdr:colOff>
      <xdr:row>0</xdr:row>
      <xdr:rowOff>7620</xdr:rowOff>
    </xdr:from>
    <xdr:to>
      <xdr:col>16</xdr:col>
      <xdr:colOff>22860</xdr:colOff>
      <xdr:row>2</xdr:row>
      <xdr:rowOff>114300</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325DD35C-EBE1-40F2-1382-4118A6A0B5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04020" y="7620"/>
          <a:ext cx="472440" cy="4724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35168</xdr:colOff>
      <xdr:row>47</xdr:row>
      <xdr:rowOff>1</xdr:rowOff>
    </xdr:from>
    <xdr:to>
      <xdr:col>3</xdr:col>
      <xdr:colOff>1477106</xdr:colOff>
      <xdr:row>48</xdr:row>
      <xdr:rowOff>169985</xdr:rowOff>
    </xdr:to>
    <xdr:graphicFrame macro="">
      <xdr:nvGraphicFramePr>
        <xdr:cNvPr id="2" name="Chart 1">
          <a:extLst>
            <a:ext uri="{FF2B5EF4-FFF2-40B4-BE49-F238E27FC236}">
              <a16:creationId xmlns:a16="http://schemas.microsoft.com/office/drawing/2014/main" id="{B85651B6-81BA-9994-7925-313B3685C1D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747685" createdVersion="5" refreshedVersion="8" minRefreshableVersion="3" recordCount="0" supportSubquery="1" supportAdvancedDrill="1" xr:uid="{54D30A23-7BD6-4FA1-B36C-B5AB2F1655F5}">
  <cacheSource type="external" connectionId="3"/>
  <cacheFields count="4">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3"/>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747685" createdVersion="5" refreshedVersion="8" minRefreshableVersion="3" recordCount="0" supportSubquery="1" supportAdvancedDrill="1" xr:uid="{D12888E8-F2CE-4A23-A724-5EEC0D8F42C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7592596" createdVersion="5" refreshedVersion="8" minRefreshableVersion="3" recordCount="0" supportSubquery="1" supportAdvancedDrill="1" xr:uid="{D479B784-840A-43B9-96EF-4137ECE718EF}">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7592596" createdVersion="5" refreshedVersion="8" minRefreshableVersion="3" recordCount="0" supportSubquery="1" supportAdvancedDrill="1" xr:uid="{58B249B4-1C2B-41A8-861D-697A425A5FD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8171297" createdVersion="5" refreshedVersion="8" minRefreshableVersion="3" recordCount="0" supportSubquery="1" supportAdvancedDrill="1" xr:uid="{64D31FCE-44B1-42B4-9B29-C690D53DC278}">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8634259" createdVersion="5" refreshedVersion="8" minRefreshableVersion="3" recordCount="0" supportSubquery="1" supportAdvancedDrill="1" xr:uid="{380C9E7B-7531-4033-9909-408B32765092}">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8981482" createdVersion="5" refreshedVersion="8" minRefreshableVersion="3" recordCount="0" supportSubquery="1" supportAdvancedDrill="1" xr:uid="{36CF054A-CDBE-40C5-BB92-8F14B54EF2C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9328705" createdVersion="5" refreshedVersion="8" minRefreshableVersion="3" recordCount="0" supportSubquery="1" supportAdvancedDrill="1" xr:uid="{2259E3A1-C0E7-4BD6-A1FC-176897A76F57}">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19675928" createdVersion="5" refreshedVersion="8" minRefreshableVersion="3" recordCount="0" supportSubquery="1" supportAdvancedDrill="1" xr:uid="{2FEECB63-0159-4123-875C-EDED385EA194}">
  <cacheSource type="external" connectionId="3"/>
  <cacheFields count="4">
    <cacheField name="[Calendar_Table].[Date (Month)].[Date (Month)]" caption="Date (Month)" numFmtId="0" hierarchy="1" level="1">
      <sharedItems containsSemiMixedTypes="0" containsNonDate="0" containsString="0"/>
    </cacheField>
    <cacheField name="[Measures].[Count of Patient Attend Status]" caption="Count of Patient Attend Status" numFmtId="0" hierarchy="30"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20023152" createdVersion="5" refreshedVersion="8" minRefreshableVersion="3" recordCount="0" supportSubquery="1" supportAdvancedDrill="1" xr:uid="{FA992D98-E843-4A7F-9D70-8E647E1E13FF}">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20486114" createdVersion="5" refreshedVersion="8" minRefreshableVersion="3" recordCount="0" supportSubquery="1" supportAdvancedDrill="1" xr:uid="{D8F78FDF-420E-4E19-AB19-C97E3B457865}">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661020833337" createdVersion="5" refreshedVersion="8" minRefreshableVersion="3" recordCount="0" supportSubquery="1" supportAdvancedDrill="1" xr:uid="{3FA02931-09A0-4787-908D-5E3F627683DB}">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731" refreshedDate="46186.559208101855" createdVersion="3" refreshedVersion="8" minRefreshableVersion="3" recordCount="0" supportSubquery="1" supportAdvancedDrill="1" xr:uid="{5C2E1B46-F543-4C95-B92F-98309662017A}">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919009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22403-EEE4-4E65-B3BD-9223FFC9263D}" name="PivotTable4" cacheId="558" applyNumberFormats="0" applyBorderFormats="0" applyFontFormats="0" applyPatternFormats="0" applyAlignmentFormats="0" applyWidthHeightFormats="1" dataCaption="Values" tag="41379843-dc28-4b15-b8f8-73eb1cef1e35" updatedVersion="8" minRefreshableVersion="3" itemPrintTitles="1" createdVersion="5" indent="0" outline="1" outlineData="1" multipleFieldFilters="0" chartFormat="92">
  <location ref="E4:F35"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BC023-FB24-48F3-B7D2-22C5BBE4175E}" name="PivotTable3" cacheId="567" applyNumberFormats="0" applyBorderFormats="0" applyFontFormats="0" applyPatternFormats="0" applyAlignmentFormats="0" applyWidthHeightFormats="1" dataCaption="Values" tag="44ba1212-d9a7-4843-8db5-68de212af86d"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94">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B34C57-F1F3-4CFA-BF34-F1A1352CC2A2}" name="PivotTable10" cacheId="585" applyNumberFormats="0" applyBorderFormats="0" applyFontFormats="0" applyPatternFormats="0" applyAlignmentFormats="0" applyWidthHeightFormats="1" dataCaption="Values" tag="59b66c1b-c5af-4853-a1ec-e1db030ffc0a" updatedVersion="8" minRefreshableVersion="3" subtotalHiddenItems="1" itemPrintTitles="1" createdVersion="5" indent="0" outline="1" outlineData="1" multipleFieldFilters="0" chartFormat="25">
  <location ref="A71:B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showDataAs="percentOfTotal" baseField="0" baseItem="0" numFmtId="10"/>
  </dataFields>
  <formats count="3">
    <format dxfId="297">
      <pivotArea outline="0" collapsedLevelsAreSubtotals="1" fieldPosition="0"/>
    </format>
    <format dxfId="296">
      <pivotArea outline="0" fieldPosition="0">
        <references count="1">
          <reference field="4294967294" count="1">
            <x v="0"/>
          </reference>
        </references>
      </pivotArea>
    </format>
    <format dxfId="295">
      <pivotArea collapsedLevelsAreSubtotals="1" fieldPosition="0">
        <references count="1">
          <reference field="2" count="0"/>
        </references>
      </pivotArea>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0E140A-C92B-448A-BCB0-5B0E96051C3E}" name="PivotTable2" cacheId="564" applyNumberFormats="0" applyBorderFormats="0" applyFontFormats="0" applyPatternFormats="0" applyAlignmentFormats="0" applyWidthHeightFormats="1" dataCaption="Values" tag="587192bc-ea90-4fa7-ad9b-1fc44bbb8301"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98">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FECBD8-AF35-4CCC-907D-3451605CFC96}" name="PivotTable1" cacheId="561" applyNumberFormats="0" applyBorderFormats="0" applyFontFormats="0" applyPatternFormats="0" applyAlignmentFormats="0" applyWidthHeightFormats="1" dataCaption="Values" tag="29c28bdb-1180-4e65-b78c-cccf3e3fc441"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20A961-2C13-4492-AFA6-BCAF6FF317D9}" name="PivotTable9" cacheId="582" applyNumberFormats="0" applyBorderFormats="0" applyFontFormats="0" applyPatternFormats="0" applyAlignmentFormats="0" applyWidthHeightFormats="1" dataCaption="Values" tag="dcbd784d-d4a8-48c1-b7a5-7cc2a565a917" updatedVersion="8" minRefreshableVersion="3" subtotalHiddenItems="1" itemPrintTitles="1" createdVersion="5" indent="0" outline="1" outlineData="1" multipleFieldFilters="0" chartFormat="19">
  <location ref="A65:B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2" baseItem="0" numFmtId="1"/>
  </dataFields>
  <formats count="2">
    <format dxfId="300">
      <pivotArea outline="0" collapsedLevelsAreSubtotals="1" fieldPosition="0"/>
    </format>
    <format dxfId="299">
      <pivotArea outline="0" fieldPosition="0">
        <references count="1">
          <reference field="4294967294" count="1">
            <x v="0"/>
          </reference>
        </references>
      </pivotArea>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C2F644-3159-4BC6-96A9-33205CDD67BD}" name="PivotTable7" cacheId="573" applyNumberFormats="0" applyBorderFormats="0" applyFontFormats="0" applyPatternFormats="0" applyAlignmentFormats="0" applyWidthHeightFormats="1" dataCaption="Values" tag="debd0e37-88d2-4ec2-8449-db41f5152d92" updatedVersion="8" minRefreshableVersion="3" subtotalHiddenItems="1" itemPrintTitles="1" createdVersion="5" indent="0" outline="1" outlineData="1" multipleFieldFilters="0" chartFormat="251">
  <location ref="M4:N35"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301">
      <pivotArea outline="0" collapsedLevelsAreSubtotals="1" fieldPosition="0"/>
    </format>
  </formats>
  <chartFormats count="3">
    <chartFormat chart="192" format="2" series="1">
      <pivotArea type="data" outline="0" fieldPosition="0">
        <references count="1">
          <reference field="4294967294" count="1" selected="0">
            <x v="0"/>
          </reference>
        </references>
      </pivotArea>
    </chartFormat>
    <chartFormat chart="193" format="2" series="1">
      <pivotArea type="data" outline="0" fieldPosition="0">
        <references count="1">
          <reference field="4294967294" count="1" selected="0">
            <x v="0"/>
          </reference>
        </references>
      </pivotArea>
    </chartFormat>
    <chartFormat chart="20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EDA21E-750C-4B11-B0D7-AEB1F626854B}" name="PivotTable8" cacheId="579" applyNumberFormats="0" applyBorderFormats="0" applyFontFormats="0" applyPatternFormats="0" applyAlignmentFormats="0" applyWidthHeightFormats="1" dataCaption="Values" tag="425d9d92-e94b-49fd-90c2-95255c7466a8" updatedVersion="8" minRefreshableVersion="3" subtotalHiddenItems="1" itemPrintTitles="1" createdVersion="5" indent="0" outline="1" outlineData="1" multipleFieldFilters="0" chartFormat="13">
  <location ref="A52:B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2" baseItem="0" numFmtId="1"/>
  </dataFields>
  <formats count="2">
    <format dxfId="303">
      <pivotArea outline="0" collapsedLevelsAreSubtotals="1" fieldPosition="0"/>
    </format>
    <format dxfId="302">
      <pivotArea outline="0" fieldPosition="0">
        <references count="1">
          <reference field="4294967294" count="1">
            <x v="0"/>
          </reference>
        </references>
      </pivotArea>
    </format>
  </formats>
  <chartFormats count="1">
    <chartFormat chart="1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D2A8AF-5712-404F-9DA7-30665AEC14FD}" name="PivotTable6" cacheId="570" applyNumberFormats="0" applyBorderFormats="0" applyFontFormats="0" applyPatternFormats="0" applyAlignmentFormats="0" applyWidthHeightFormats="1" dataCaption="Values" tag="c96faf47-d1b9-4547-b7b8-84a090d2f04f" updatedVersion="8" minRefreshableVersion="3" subtotalHiddenItems="1" itemPrintTitles="1" createdVersion="5" indent="0" outline="1" outlineData="1" multipleFieldFilters="0" chartFormat="189">
  <location ref="I4:J35"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304">
      <pivotArea outline="0" collapsedLevelsAreSubtotals="1" fieldPosition="0"/>
    </format>
  </formats>
  <chartFormats count="2">
    <chartFormat chart="86" format="2" series="1">
      <pivotArea type="data" outline="0" fieldPosition="0">
        <references count="1">
          <reference field="4294967294" count="1" selected="0">
            <x v="0"/>
          </reference>
        </references>
      </pivotArea>
    </chartFormat>
    <chartFormat chart="9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5363B5-1205-4E29-B02D-2A9C9981A37E}" name="PivotTable5" cacheId="576" applyNumberFormats="0" applyBorderFormats="0" applyFontFormats="0" applyPatternFormats="0" applyAlignmentFormats="0" applyWidthHeightFormats="1" dataCaption="Values" tag="b0ae5fdf-639c-4216-8c18-f42f0b6901a1" updatedVersion="8" minRefreshableVersion="3" subtotalHiddenItems="1" itemPrintTitles="1" createdVersion="5" indent="0" outline="1" outlineData="1" multipleFieldFilters="0" chartFormat="13">
  <location ref="A41:C44" firstHeaderRow="0" firstDataRow="1" firstDataCol="1"/>
  <pivotFields count="5">
    <pivotField allDrilled="1" subtotalTop="0" showAll="0" dataSourceSort="1" defaultSubtotal="0" defaultAttributeDrillState="1"/>
    <pivotField axis="axisRow" allDrilled="1" subtotalTop="0" showAll="0" sortType="de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v="1"/>
    </i>
    <i>
      <x/>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290">
      <pivotArea outline="0" collapsedLevelsAreSubtotals="1" fieldPosition="0"/>
    </format>
    <format dxfId="291">
      <pivotArea collapsedLevelsAreSubtotals="1" fieldPosition="0">
        <references count="1">
          <reference field="1" count="1">
            <x v="0"/>
          </reference>
        </references>
      </pivotArea>
    </format>
    <format dxfId="292">
      <pivotArea collapsedLevelsAreSubtotals="1" fieldPosition="0">
        <references count="1">
          <reference field="1" count="1">
            <x v="1"/>
          </reference>
        </references>
      </pivotArea>
    </format>
    <format dxfId="29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456991-8960-4D7B-B6AF-667AC043EAE5}" name="PivotTable12" cacheId="591" applyNumberFormats="0" applyBorderFormats="0" applyFontFormats="0" applyPatternFormats="0" applyAlignmentFormats="0" applyWidthHeightFormats="1" dataCaption="Values" tag="5fbf663f-2867-4518-bcff-a73a24842c6a" updatedVersion="8" minRefreshableVersion="3" subtotalHiddenItems="1" itemPrintTitles="1" createdVersion="5" indent="0" outline="1" outlineData="1" multipleFieldFilters="0" chartFormat="27">
  <location ref="A91:A93"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305">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5B2FE2-6C5C-49FB-881E-29BC739D1F83}" name="PivotTable11" cacheId="588" applyNumberFormats="0" applyBorderFormats="0" applyFontFormats="0" applyPatternFormats="0" applyAlignmentFormats="0" applyWidthHeightFormats="1" dataCaption="Values" tag="dda7225f-1382-4951-974d-7853859071c0" updatedVersion="8" minRefreshableVersion="3" subtotalHiddenItems="1" itemPrintTitles="1" createdVersion="5" indent="0" outline="1" outlineData="1" multipleFieldFilters="0" chartFormat="27">
  <location ref="A77:B8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6"/>
    </i>
    <i>
      <x v="1"/>
    </i>
    <i>
      <x/>
    </i>
    <i>
      <x v="5"/>
    </i>
    <i>
      <x v="2"/>
    </i>
    <i>
      <x v="4"/>
    </i>
    <i t="grand">
      <x/>
    </i>
  </rowItems>
  <colItems count="1">
    <i/>
  </colItems>
  <dataFields count="1">
    <dataField name="Count of Department Referral" fld="1" subtotal="count" baseField="2" baseItem="0" numFmtId="1"/>
  </dataFields>
  <formats count="2">
    <format dxfId="307">
      <pivotArea outline="0" collapsedLevelsAreSubtotals="1" fieldPosition="0"/>
    </format>
    <format dxfId="306">
      <pivotArea outline="0" fieldPosition="0">
        <references count="1">
          <reference field="4294967294" count="1">
            <x v="0"/>
          </reference>
        </references>
      </pivotArea>
    </format>
  </formats>
  <chartFormats count="1">
    <chartFormat chart="2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98F2A99-A114-4757-9383-A2643D8CAE90}" sourceName="[Calendar_Table].[Date (Month)]">
  <pivotTables>
    <pivotTable tabId="1" name="PivotTable4"/>
    <pivotTable tabId="1" name="PivotTable1"/>
    <pivotTable tabId="1" name="PivotTable2"/>
    <pivotTable tabId="1" name="PivotTable3"/>
    <pivotTable tabId="1" name="PivotTable6"/>
    <pivotTable tabId="1" name="PivotTable7"/>
    <pivotTable tabId="1" name="PivotTable5"/>
    <pivotTable tabId="1" name="PivotTable8"/>
    <pivotTable tabId="1" name="PivotTable9"/>
    <pivotTable tabId="1" name="PivotTable10"/>
    <pivotTable tabId="1" name="PivotTable11"/>
    <pivotTable tabId="1" name="PivotTable12"/>
  </pivotTables>
  <data>
    <olap pivotCacheId="991900946">
      <levels count="2">
        <level uniqueName="[Calendar_Table].[Date (Month)].[(All)]" sourceCaption="(All)" count="0"/>
        <level uniqueName="[Calendar_Table].[Date (Month)].[Date (Month)]" sourceCaption="Date (Month)" count="12" crossFilter="none">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5F14710-E426-46A2-9D85-97BDD9119F3D}"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9190094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FDC684A-91DA-403D-B0EC-2A46006B77CF}" cache="Slicer_Date__Month" caption="Date (Month)" showCaption="0" level="1" style="My Style" rowHeight="144000"/>
  <slicer name="Date (Year)" xr10:uid="{EB209790-65EC-490C-B38C-DE5AC379DCD4}" cache="Slicer_Date__Year" caption="Date (Year)" columnCount="2" showCaption="0" level="1" style="My Style"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6.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BE6D-F6EE-495A-8B10-9BA19566D2F1}">
  <dimension ref="A1"/>
  <sheetViews>
    <sheetView tabSelected="1" zoomScale="129" zoomScaleNormal="150" workbookViewId="0">
      <selection activeCell="Q10" sqref="Q10"/>
    </sheetView>
  </sheetViews>
  <sheetFormatPr defaultRowHeight="14.4" x14ac:dyDescent="0.3"/>
  <cols>
    <col min="1"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30F3-89E7-4960-B36A-2C580E0B695E}">
  <dimension ref="A1"/>
  <sheetViews>
    <sheetView workbookViewId="0"/>
  </sheetViews>
  <sheetFormatPr defaultRowHeight="14.4" x14ac:dyDescent="0.3"/>
  <cols>
    <col min="1" max="16384" width="8.88671875" style="5"/>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C27E-B60B-40C6-A835-68313C295C83}">
  <dimension ref="A1"/>
  <sheetViews>
    <sheetView workbookViewId="0">
      <selection activeCell="J28" sqref="J28"/>
    </sheetView>
  </sheetViews>
  <sheetFormatPr defaultRowHeight="14.4" x14ac:dyDescent="0.3"/>
  <cols>
    <col min="1" max="16384" width="8.886718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F5A1-62EF-42D0-B8C0-53AF6DAB8B36}">
  <dimension ref="A1"/>
  <sheetViews>
    <sheetView workbookViewId="0"/>
  </sheetViews>
  <sheetFormatPr defaultRowHeight="14.4" x14ac:dyDescent="0.3"/>
  <cols>
    <col min="1" max="16384" width="8.88671875" style="5"/>
  </cols>
  <sheetData>
    <row r="1" spans="1:1" x14ac:dyDescent="0.3">
      <c r="A1" s="6" t="s">
        <v>9</v>
      </c>
    </row>
  </sheetData>
  <hyperlinks>
    <hyperlink ref="A1" location="Dashboard!A1" display="Dashboard!A1" xr:uid="{FE7736D0-246E-4906-8104-E922C47E5F5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A899-635E-4583-B2F8-23B6FB0C9E02}">
  <dimension ref="A3:N93"/>
  <sheetViews>
    <sheetView topLeftCell="A37" zoomScale="130" zoomScaleNormal="130" workbookViewId="0">
      <selection activeCell="D15" sqref="D15"/>
    </sheetView>
  </sheetViews>
  <sheetFormatPr defaultRowHeight="14.4" x14ac:dyDescent="0.3"/>
  <cols>
    <col min="1" max="1" width="17.44140625" customWidth="1"/>
    <col min="2" max="2" width="16.109375" customWidth="1"/>
    <col min="3" max="3" width="12.77734375" customWidth="1"/>
    <col min="4" max="4" width="21.5546875" customWidth="1"/>
    <col min="5" max="5" width="10.109375" customWidth="1"/>
  </cols>
  <sheetData>
    <row r="3" spans="1:14" x14ac:dyDescent="0.3">
      <c r="A3" t="s">
        <v>1</v>
      </c>
      <c r="E3" t="s">
        <v>6</v>
      </c>
      <c r="I3" t="s">
        <v>7</v>
      </c>
      <c r="M3" t="s">
        <v>8</v>
      </c>
    </row>
    <row r="4" spans="1:14" x14ac:dyDescent="0.3">
      <c r="A4" t="s">
        <v>0</v>
      </c>
      <c r="E4" s="1" t="s">
        <v>4</v>
      </c>
      <c r="F4" t="s">
        <v>0</v>
      </c>
      <c r="I4" s="1" t="s">
        <v>4</v>
      </c>
      <c r="J4" t="s">
        <v>2</v>
      </c>
      <c r="M4" s="1" t="s">
        <v>4</v>
      </c>
      <c r="N4" t="s">
        <v>3</v>
      </c>
    </row>
    <row r="5" spans="1:14" x14ac:dyDescent="0.3">
      <c r="A5" s="10">
        <v>479</v>
      </c>
      <c r="E5" s="4" t="s">
        <v>10</v>
      </c>
      <c r="F5" s="10">
        <v>19</v>
      </c>
      <c r="I5" s="4" t="s">
        <v>10</v>
      </c>
      <c r="J5" s="2">
        <v>40.473684210526315</v>
      </c>
      <c r="K5" s="2"/>
      <c r="M5" s="4" t="s">
        <v>10</v>
      </c>
      <c r="N5" s="2">
        <v>3.8</v>
      </c>
    </row>
    <row r="6" spans="1:14" x14ac:dyDescent="0.3">
      <c r="E6" s="4" t="s">
        <v>11</v>
      </c>
      <c r="F6" s="10">
        <v>13</v>
      </c>
      <c r="I6" s="4" t="s">
        <v>11</v>
      </c>
      <c r="J6" s="2">
        <v>29.46153846153846</v>
      </c>
      <c r="K6" s="2"/>
      <c r="M6" s="4" t="s">
        <v>11</v>
      </c>
      <c r="N6" s="2">
        <v>7.75</v>
      </c>
    </row>
    <row r="7" spans="1:14" x14ac:dyDescent="0.3">
      <c r="E7" s="4" t="s">
        <v>12</v>
      </c>
      <c r="F7" s="10">
        <v>14</v>
      </c>
      <c r="I7" s="4" t="s">
        <v>12</v>
      </c>
      <c r="J7" s="2">
        <v>33.928571428571431</v>
      </c>
      <c r="K7" s="2"/>
      <c r="M7" s="4" t="s">
        <v>12</v>
      </c>
      <c r="N7" s="2">
        <v>4.5999999999999996</v>
      </c>
    </row>
    <row r="8" spans="1:14" x14ac:dyDescent="0.3">
      <c r="A8" t="s">
        <v>2</v>
      </c>
      <c r="E8" s="4" t="s">
        <v>13</v>
      </c>
      <c r="F8" s="10">
        <v>9</v>
      </c>
      <c r="I8" s="4" t="s">
        <v>13</v>
      </c>
      <c r="J8" s="2">
        <v>32.222222222222221</v>
      </c>
      <c r="K8" s="2"/>
      <c r="M8" s="4" t="s">
        <v>13</v>
      </c>
      <c r="N8" s="2">
        <v>6</v>
      </c>
    </row>
    <row r="9" spans="1:14" x14ac:dyDescent="0.3">
      <c r="A9" s="2">
        <v>34.90187891440501</v>
      </c>
      <c r="E9" s="4" t="s">
        <v>14</v>
      </c>
      <c r="F9" s="10">
        <v>19</v>
      </c>
      <c r="I9" s="4" t="s">
        <v>14</v>
      </c>
      <c r="J9" s="2">
        <v>35.736842105263158</v>
      </c>
      <c r="K9" s="2"/>
      <c r="M9" s="4" t="s">
        <v>14</v>
      </c>
      <c r="N9" s="2">
        <v>5.5714285714285712</v>
      </c>
    </row>
    <row r="10" spans="1:14" x14ac:dyDescent="0.3">
      <c r="E10" s="4" t="s">
        <v>15</v>
      </c>
      <c r="F10" s="10">
        <v>14</v>
      </c>
      <c r="I10" s="4" t="s">
        <v>15</v>
      </c>
      <c r="J10" s="2">
        <v>30.142857142857142</v>
      </c>
      <c r="K10" s="2"/>
      <c r="M10" s="4" t="s">
        <v>15</v>
      </c>
      <c r="N10" s="2">
        <v>2</v>
      </c>
    </row>
    <row r="11" spans="1:14" x14ac:dyDescent="0.3">
      <c r="E11" s="4" t="s">
        <v>16</v>
      </c>
      <c r="F11" s="10">
        <v>11</v>
      </c>
      <c r="I11" s="4" t="s">
        <v>16</v>
      </c>
      <c r="J11" s="2">
        <v>33.81818181818182</v>
      </c>
      <c r="K11" s="2"/>
      <c r="M11" s="4" t="s">
        <v>16</v>
      </c>
      <c r="N11" s="2">
        <v>8</v>
      </c>
    </row>
    <row r="12" spans="1:14" x14ac:dyDescent="0.3">
      <c r="A12" t="s">
        <v>3</v>
      </c>
      <c r="E12" s="4" t="s">
        <v>17</v>
      </c>
      <c r="F12" s="10">
        <v>22</v>
      </c>
      <c r="I12" s="4" t="s">
        <v>17</v>
      </c>
      <c r="J12" s="2">
        <v>31.681818181818183</v>
      </c>
      <c r="K12" s="2"/>
      <c r="M12" s="4" t="s">
        <v>17</v>
      </c>
      <c r="N12" s="2">
        <v>8</v>
      </c>
    </row>
    <row r="13" spans="1:14" x14ac:dyDescent="0.3">
      <c r="A13" s="2">
        <v>5.3034482758620687</v>
      </c>
      <c r="E13" s="4" t="s">
        <v>18</v>
      </c>
      <c r="F13" s="10">
        <v>12</v>
      </c>
      <c r="I13" s="4" t="s">
        <v>18</v>
      </c>
      <c r="J13" s="2">
        <v>36.416666666666664</v>
      </c>
      <c r="K13" s="2"/>
      <c r="M13" s="4" t="s">
        <v>18</v>
      </c>
      <c r="N13" s="2">
        <v>5.25</v>
      </c>
    </row>
    <row r="14" spans="1:14" x14ac:dyDescent="0.3">
      <c r="E14" s="4" t="s">
        <v>19</v>
      </c>
      <c r="F14" s="10">
        <v>13</v>
      </c>
      <c r="I14" s="4" t="s">
        <v>19</v>
      </c>
      <c r="J14" s="2">
        <v>33.692307692307693</v>
      </c>
      <c r="K14" s="2"/>
      <c r="M14" s="4" t="s">
        <v>19</v>
      </c>
      <c r="N14" s="2">
        <v>6</v>
      </c>
    </row>
    <row r="15" spans="1:14" x14ac:dyDescent="0.3">
      <c r="E15" s="4" t="s">
        <v>20</v>
      </c>
      <c r="F15" s="10">
        <v>17</v>
      </c>
      <c r="I15" s="4" t="s">
        <v>20</v>
      </c>
      <c r="J15" s="2">
        <v>39.117647058823529</v>
      </c>
      <c r="K15" s="2"/>
      <c r="M15" s="4" t="s">
        <v>20</v>
      </c>
      <c r="N15" s="2">
        <v>6.5</v>
      </c>
    </row>
    <row r="16" spans="1:14" x14ac:dyDescent="0.3">
      <c r="E16" s="4" t="s">
        <v>21</v>
      </c>
      <c r="F16" s="10">
        <v>30</v>
      </c>
      <c r="I16" s="4" t="s">
        <v>21</v>
      </c>
      <c r="J16" s="2">
        <v>36.93333333333333</v>
      </c>
      <c r="K16" s="2"/>
      <c r="M16" s="4" t="s">
        <v>21</v>
      </c>
      <c r="N16" s="2">
        <v>5.75</v>
      </c>
    </row>
    <row r="17" spans="5:14" x14ac:dyDescent="0.3">
      <c r="E17" s="4" t="s">
        <v>22</v>
      </c>
      <c r="F17" s="10">
        <v>13</v>
      </c>
      <c r="I17" s="4" t="s">
        <v>22</v>
      </c>
      <c r="J17" s="2">
        <v>29.923076923076923</v>
      </c>
      <c r="K17" s="2"/>
      <c r="M17" s="4" t="s">
        <v>22</v>
      </c>
      <c r="N17" s="2">
        <v>5.6</v>
      </c>
    </row>
    <row r="18" spans="5:14" x14ac:dyDescent="0.3">
      <c r="E18" s="4" t="s">
        <v>23</v>
      </c>
      <c r="F18" s="10">
        <v>21</v>
      </c>
      <c r="I18" s="4" t="s">
        <v>23</v>
      </c>
      <c r="J18" s="2">
        <v>31.666666666666668</v>
      </c>
      <c r="K18" s="2"/>
      <c r="M18" s="4" t="s">
        <v>23</v>
      </c>
      <c r="N18" s="2">
        <v>6.5</v>
      </c>
    </row>
    <row r="19" spans="5:14" x14ac:dyDescent="0.3">
      <c r="E19" s="4" t="s">
        <v>24</v>
      </c>
      <c r="F19" s="10">
        <v>12</v>
      </c>
      <c r="I19" s="4" t="s">
        <v>24</v>
      </c>
      <c r="J19" s="2">
        <v>40.25</v>
      </c>
      <c r="K19" s="2"/>
      <c r="M19" s="4" t="s">
        <v>24</v>
      </c>
      <c r="N19" s="2">
        <v>5.666666666666667</v>
      </c>
    </row>
    <row r="20" spans="5:14" x14ac:dyDescent="0.3">
      <c r="E20" s="4" t="s">
        <v>25</v>
      </c>
      <c r="F20" s="10">
        <v>17</v>
      </c>
      <c r="I20" s="4" t="s">
        <v>25</v>
      </c>
      <c r="J20" s="2">
        <v>30</v>
      </c>
      <c r="K20" s="2"/>
      <c r="M20" s="4" t="s">
        <v>25</v>
      </c>
      <c r="N20" s="2">
        <v>5.666666666666667</v>
      </c>
    </row>
    <row r="21" spans="5:14" x14ac:dyDescent="0.3">
      <c r="E21" s="4" t="s">
        <v>26</v>
      </c>
      <c r="F21" s="10">
        <v>16</v>
      </c>
      <c r="I21" s="4" t="s">
        <v>26</v>
      </c>
      <c r="J21" s="2">
        <v>35</v>
      </c>
      <c r="K21" s="2"/>
      <c r="M21" s="4" t="s">
        <v>26</v>
      </c>
      <c r="N21" s="2">
        <v>5.8</v>
      </c>
    </row>
    <row r="22" spans="5:14" x14ac:dyDescent="0.3">
      <c r="E22" s="4" t="s">
        <v>27</v>
      </c>
      <c r="F22" s="10">
        <v>20</v>
      </c>
      <c r="I22" s="4" t="s">
        <v>27</v>
      </c>
      <c r="J22" s="2">
        <v>41.85</v>
      </c>
      <c r="K22" s="2"/>
      <c r="M22" s="4" t="s">
        <v>27</v>
      </c>
      <c r="N22" s="2">
        <v>4.666666666666667</v>
      </c>
    </row>
    <row r="23" spans="5:14" x14ac:dyDescent="0.3">
      <c r="E23" s="4" t="s">
        <v>28</v>
      </c>
      <c r="F23" s="10">
        <v>18</v>
      </c>
      <c r="I23" s="4" t="s">
        <v>28</v>
      </c>
      <c r="J23" s="2">
        <v>33.277777777777779</v>
      </c>
      <c r="K23" s="2"/>
      <c r="M23" s="4" t="s">
        <v>28</v>
      </c>
      <c r="N23" s="2">
        <v>4.833333333333333</v>
      </c>
    </row>
    <row r="24" spans="5:14" x14ac:dyDescent="0.3">
      <c r="E24" s="4" t="s">
        <v>29</v>
      </c>
      <c r="F24" s="10">
        <v>16</v>
      </c>
      <c r="I24" s="4" t="s">
        <v>29</v>
      </c>
      <c r="J24" s="2">
        <v>32.9375</v>
      </c>
      <c r="K24" s="2"/>
      <c r="M24" s="4" t="s">
        <v>29</v>
      </c>
      <c r="N24" s="2">
        <v>2.3333333333333335</v>
      </c>
    </row>
    <row r="25" spans="5:14" x14ac:dyDescent="0.3">
      <c r="E25" s="4" t="s">
        <v>30</v>
      </c>
      <c r="F25" s="10">
        <v>15</v>
      </c>
      <c r="I25" s="4" t="s">
        <v>30</v>
      </c>
      <c r="J25" s="2">
        <v>33.266666666666666</v>
      </c>
      <c r="K25" s="2"/>
      <c r="M25" s="4" t="s">
        <v>30</v>
      </c>
      <c r="N25" s="2">
        <v>4.5</v>
      </c>
    </row>
    <row r="26" spans="5:14" x14ac:dyDescent="0.3">
      <c r="E26" s="4" t="s">
        <v>31</v>
      </c>
      <c r="F26" s="10">
        <v>18</v>
      </c>
      <c r="I26" s="4" t="s">
        <v>31</v>
      </c>
      <c r="J26" s="2">
        <v>34.444444444444443</v>
      </c>
      <c r="K26" s="2"/>
      <c r="M26" s="4" t="s">
        <v>31</v>
      </c>
      <c r="N26" s="2">
        <v>6.666666666666667</v>
      </c>
    </row>
    <row r="27" spans="5:14" x14ac:dyDescent="0.3">
      <c r="E27" s="4" t="s">
        <v>32</v>
      </c>
      <c r="F27" s="10">
        <v>12</v>
      </c>
      <c r="I27" s="4" t="s">
        <v>32</v>
      </c>
      <c r="J27" s="2">
        <v>43.416666666666664</v>
      </c>
      <c r="K27" s="2"/>
      <c r="M27" s="4" t="s">
        <v>32</v>
      </c>
      <c r="N27" s="2">
        <v>7.5</v>
      </c>
    </row>
    <row r="28" spans="5:14" x14ac:dyDescent="0.3">
      <c r="E28" s="4" t="s">
        <v>33</v>
      </c>
      <c r="F28" s="10">
        <v>14</v>
      </c>
      <c r="I28" s="4" t="s">
        <v>33</v>
      </c>
      <c r="J28" s="2">
        <v>36.357142857142854</v>
      </c>
      <c r="K28" s="2"/>
      <c r="M28" s="4" t="s">
        <v>33</v>
      </c>
      <c r="N28" s="2">
        <v>5.2857142857142856</v>
      </c>
    </row>
    <row r="29" spans="5:14" x14ac:dyDescent="0.3">
      <c r="E29" s="4" t="s">
        <v>34</v>
      </c>
      <c r="F29" s="10">
        <v>18</v>
      </c>
      <c r="I29" s="4" t="s">
        <v>34</v>
      </c>
      <c r="J29" s="2">
        <v>40.611111111111114</v>
      </c>
      <c r="K29" s="2"/>
      <c r="M29" s="4" t="s">
        <v>34</v>
      </c>
      <c r="N29" s="2">
        <v>2.875</v>
      </c>
    </row>
    <row r="30" spans="5:14" x14ac:dyDescent="0.3">
      <c r="E30" s="4" t="s">
        <v>35</v>
      </c>
      <c r="F30" s="10">
        <v>16</v>
      </c>
      <c r="I30" s="4" t="s">
        <v>35</v>
      </c>
      <c r="J30" s="2">
        <v>29.875</v>
      </c>
      <c r="K30" s="2"/>
      <c r="M30" s="4" t="s">
        <v>35</v>
      </c>
      <c r="N30" s="2">
        <v>6.25</v>
      </c>
    </row>
    <row r="31" spans="5:14" x14ac:dyDescent="0.3">
      <c r="E31" s="4" t="s">
        <v>36</v>
      </c>
      <c r="F31" s="10">
        <v>16</v>
      </c>
      <c r="I31" s="4" t="s">
        <v>36</v>
      </c>
      <c r="J31" s="2">
        <v>33.5</v>
      </c>
      <c r="K31" s="2"/>
      <c r="M31" s="4" t="s">
        <v>36</v>
      </c>
      <c r="N31" s="2">
        <v>6.125</v>
      </c>
    </row>
    <row r="32" spans="5:14" x14ac:dyDescent="0.3">
      <c r="E32" s="4" t="s">
        <v>37</v>
      </c>
      <c r="F32" s="10">
        <v>16</v>
      </c>
      <c r="I32" s="4" t="s">
        <v>37</v>
      </c>
      <c r="J32" s="2">
        <v>32.5625</v>
      </c>
      <c r="K32" s="2"/>
      <c r="M32" s="4" t="s">
        <v>37</v>
      </c>
      <c r="N32" s="2">
        <v>5.75</v>
      </c>
    </row>
    <row r="33" spans="1:14" x14ac:dyDescent="0.3">
      <c r="E33" s="4" t="s">
        <v>38</v>
      </c>
      <c r="F33" s="10">
        <v>14</v>
      </c>
      <c r="I33" s="4" t="s">
        <v>38</v>
      </c>
      <c r="J33" s="2">
        <v>38.571428571428569</v>
      </c>
      <c r="K33" s="2"/>
      <c r="M33" s="4" t="s">
        <v>38</v>
      </c>
      <c r="N33" s="2">
        <v>5.375</v>
      </c>
    </row>
    <row r="34" spans="1:14" x14ac:dyDescent="0.3">
      <c r="E34" s="4" t="s">
        <v>39</v>
      </c>
      <c r="F34" s="10">
        <v>14</v>
      </c>
      <c r="I34" s="4" t="s">
        <v>39</v>
      </c>
      <c r="J34" s="2">
        <v>32.714285714285715</v>
      </c>
      <c r="K34" s="2"/>
      <c r="M34" s="4" t="s">
        <v>39</v>
      </c>
      <c r="N34" s="2">
        <v>5.6</v>
      </c>
    </row>
    <row r="35" spans="1:14" x14ac:dyDescent="0.3">
      <c r="E35" s="4" t="s">
        <v>5</v>
      </c>
      <c r="F35" s="10">
        <v>479</v>
      </c>
      <c r="I35" s="4" t="s">
        <v>5</v>
      </c>
      <c r="J35" s="2">
        <v>34.90187891440501</v>
      </c>
      <c r="K35" s="2"/>
      <c r="M35" s="4" t="s">
        <v>5</v>
      </c>
      <c r="N35" s="2">
        <v>5.3034482758620687</v>
      </c>
    </row>
    <row r="36" spans="1:14" x14ac:dyDescent="0.3">
      <c r="K36" s="2"/>
    </row>
    <row r="41" spans="1:14" x14ac:dyDescent="0.3">
      <c r="A41" s="1" t="s">
        <v>4</v>
      </c>
      <c r="B41" t="s">
        <v>62</v>
      </c>
      <c r="C41" t="s">
        <v>64</v>
      </c>
    </row>
    <row r="42" spans="1:14" x14ac:dyDescent="0.3">
      <c r="A42" s="4" t="s">
        <v>54</v>
      </c>
      <c r="B42" s="7">
        <v>242</v>
      </c>
      <c r="C42" s="8">
        <v>0.50521920668058451</v>
      </c>
    </row>
    <row r="43" spans="1:14" x14ac:dyDescent="0.3">
      <c r="A43" s="4" t="s">
        <v>42</v>
      </c>
      <c r="B43" s="7">
        <v>237</v>
      </c>
      <c r="C43" s="8">
        <v>0.49478079331941544</v>
      </c>
    </row>
    <row r="44" spans="1:14" x14ac:dyDescent="0.3">
      <c r="A44" s="4" t="s">
        <v>5</v>
      </c>
      <c r="B44" s="2">
        <v>479</v>
      </c>
      <c r="C44" s="8">
        <v>1</v>
      </c>
    </row>
    <row r="47" spans="1:14" x14ac:dyDescent="0.3">
      <c r="A47" s="11" t="s">
        <v>65</v>
      </c>
      <c r="B47" s="11" t="s">
        <v>1</v>
      </c>
      <c r="C47" s="11" t="s">
        <v>66</v>
      </c>
      <c r="D47" s="11"/>
    </row>
    <row r="48" spans="1:14" x14ac:dyDescent="0.3">
      <c r="A48" s="12" t="str">
        <f>A43</f>
        <v>Admitted</v>
      </c>
      <c r="B48" s="12">
        <f t="shared" ref="B48:C48" si="0">B43</f>
        <v>237</v>
      </c>
      <c r="C48" s="13">
        <f t="shared" si="0"/>
        <v>0.49478079331941544</v>
      </c>
      <c r="D48" s="12"/>
    </row>
    <row r="49" spans="1:4" x14ac:dyDescent="0.3">
      <c r="A49" s="12" t="str">
        <f>A42</f>
        <v>Not Admitted</v>
      </c>
      <c r="B49" s="12">
        <f t="shared" ref="B49:C49" si="1">B42</f>
        <v>242</v>
      </c>
      <c r="C49" s="13">
        <f t="shared" si="1"/>
        <v>0.50521920668058451</v>
      </c>
      <c r="D49" s="12"/>
    </row>
    <row r="52" spans="1:4" x14ac:dyDescent="0.3">
      <c r="A52" s="1" t="s">
        <v>4</v>
      </c>
      <c r="B52" t="s">
        <v>67</v>
      </c>
    </row>
    <row r="53" spans="1:4" x14ac:dyDescent="0.3">
      <c r="A53" s="4" t="s">
        <v>51</v>
      </c>
      <c r="B53" s="7">
        <v>70</v>
      </c>
    </row>
    <row r="54" spans="1:4" x14ac:dyDescent="0.3">
      <c r="A54" s="4" t="s">
        <v>48</v>
      </c>
      <c r="B54" s="7">
        <v>67</v>
      </c>
    </row>
    <row r="55" spans="1:4" x14ac:dyDescent="0.3">
      <c r="A55" s="4" t="s">
        <v>50</v>
      </c>
      <c r="B55" s="7">
        <v>64</v>
      </c>
    </row>
    <row r="56" spans="1:4" x14ac:dyDescent="0.3">
      <c r="A56" s="4" t="s">
        <v>52</v>
      </c>
      <c r="B56" s="7">
        <v>60</v>
      </c>
    </row>
    <row r="57" spans="1:4" x14ac:dyDescent="0.3">
      <c r="A57" s="4" t="s">
        <v>49</v>
      </c>
      <c r="B57" s="7">
        <v>42</v>
      </c>
    </row>
    <row r="58" spans="1:4" x14ac:dyDescent="0.3">
      <c r="A58" s="4" t="s">
        <v>45</v>
      </c>
      <c r="B58" s="7">
        <v>53</v>
      </c>
    </row>
    <row r="59" spans="1:4" x14ac:dyDescent="0.3">
      <c r="A59" s="4" t="s">
        <v>43</v>
      </c>
      <c r="B59" s="7">
        <v>71</v>
      </c>
    </row>
    <row r="60" spans="1:4" x14ac:dyDescent="0.3">
      <c r="A60" s="4" t="s">
        <v>46</v>
      </c>
      <c r="B60" s="7">
        <v>52</v>
      </c>
    </row>
    <row r="61" spans="1:4" x14ac:dyDescent="0.3">
      <c r="A61" s="4" t="s">
        <v>5</v>
      </c>
      <c r="B61" s="7">
        <v>479</v>
      </c>
    </row>
    <row r="65" spans="1:2" x14ac:dyDescent="0.3">
      <c r="A65" s="1" t="s">
        <v>4</v>
      </c>
      <c r="B65" t="s">
        <v>63</v>
      </c>
    </row>
    <row r="66" spans="1:2" x14ac:dyDescent="0.3">
      <c r="A66" s="4" t="s">
        <v>44</v>
      </c>
      <c r="B66" s="7">
        <v>273</v>
      </c>
    </row>
    <row r="67" spans="1:2" x14ac:dyDescent="0.3">
      <c r="A67" s="4" t="s">
        <v>47</v>
      </c>
      <c r="B67" s="7">
        <v>206</v>
      </c>
    </row>
    <row r="68" spans="1:2" x14ac:dyDescent="0.3">
      <c r="A68" s="4" t="s">
        <v>5</v>
      </c>
      <c r="B68" s="7">
        <v>479</v>
      </c>
    </row>
    <row r="71" spans="1:2" x14ac:dyDescent="0.3">
      <c r="A71" s="1" t="s">
        <v>4</v>
      </c>
      <c r="B71" t="s">
        <v>68</v>
      </c>
    </row>
    <row r="72" spans="1:2" x14ac:dyDescent="0.3">
      <c r="A72" s="4" t="s">
        <v>53</v>
      </c>
      <c r="B72" s="9">
        <v>0.49060542797494783</v>
      </c>
    </row>
    <row r="73" spans="1:2" x14ac:dyDescent="0.3">
      <c r="A73" s="4" t="s">
        <v>40</v>
      </c>
      <c r="B73" s="9">
        <v>0.50939457202505223</v>
      </c>
    </row>
    <row r="74" spans="1:2" x14ac:dyDescent="0.3">
      <c r="A74" s="4" t="s">
        <v>5</v>
      </c>
      <c r="B74" s="8">
        <v>1</v>
      </c>
    </row>
    <row r="77" spans="1:2" x14ac:dyDescent="0.3">
      <c r="A77" s="1" t="s">
        <v>4</v>
      </c>
      <c r="B77" t="s">
        <v>69</v>
      </c>
    </row>
    <row r="78" spans="1:2" x14ac:dyDescent="0.3">
      <c r="A78" s="4" t="s">
        <v>61</v>
      </c>
      <c r="B78" s="7">
        <v>4</v>
      </c>
    </row>
    <row r="79" spans="1:2" x14ac:dyDescent="0.3">
      <c r="A79" s="4" t="s">
        <v>59</v>
      </c>
      <c r="B79" s="7">
        <v>11</v>
      </c>
    </row>
    <row r="80" spans="1:2" x14ac:dyDescent="0.3">
      <c r="A80" s="4" t="s">
        <v>57</v>
      </c>
      <c r="B80" s="7">
        <v>11</v>
      </c>
    </row>
    <row r="81" spans="1:2" x14ac:dyDescent="0.3">
      <c r="A81" s="4" t="s">
        <v>60</v>
      </c>
      <c r="B81" s="7">
        <v>12</v>
      </c>
    </row>
    <row r="82" spans="1:2" x14ac:dyDescent="0.3">
      <c r="A82" s="4" t="s">
        <v>58</v>
      </c>
      <c r="B82" s="7">
        <v>18</v>
      </c>
    </row>
    <row r="83" spans="1:2" x14ac:dyDescent="0.3">
      <c r="A83" s="4" t="s">
        <v>56</v>
      </c>
      <c r="B83" s="7">
        <v>45</v>
      </c>
    </row>
    <row r="84" spans="1:2" x14ac:dyDescent="0.3">
      <c r="A84" s="4" t="s">
        <v>55</v>
      </c>
      <c r="B84" s="7">
        <v>115</v>
      </c>
    </row>
    <row r="85" spans="1:2" x14ac:dyDescent="0.3">
      <c r="A85" s="4" t="s">
        <v>41</v>
      </c>
      <c r="B85" s="7">
        <v>263</v>
      </c>
    </row>
    <row r="86" spans="1:2" x14ac:dyDescent="0.3">
      <c r="A86" s="4" t="s">
        <v>5</v>
      </c>
      <c r="B86" s="7">
        <v>479</v>
      </c>
    </row>
    <row r="91" spans="1:2" x14ac:dyDescent="0.3">
      <c r="A91" s="1" t="s">
        <v>4</v>
      </c>
    </row>
    <row r="92" spans="1:2" x14ac:dyDescent="0.3">
      <c r="A92" s="4" t="s">
        <v>70</v>
      </c>
    </row>
    <row r="93" spans="1:2" x14ac:dyDescent="0.3">
      <c r="A93" s="4" t="s">
        <v>5</v>
      </c>
    </row>
  </sheetData>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454432D-00C6-41AE-8BD1-A9668505A73A}">
  <ds:schemaRefs/>
</ds:datastoreItem>
</file>

<file path=customXml/itemProps2.xml><?xml version="1.0" encoding="utf-8"?>
<ds:datastoreItem xmlns:ds="http://schemas.openxmlformats.org/officeDocument/2006/customXml" ds:itemID="{620B04AA-3D9F-4657-8592-76CF075677E8}">
  <ds:schemaRefs>
    <ds:schemaRef ds:uri="http://schemas.microsoft.com/DataMashup"/>
  </ds:schemaRefs>
</ds:datastoreItem>
</file>

<file path=customXml/itemProps3.xml><?xml version="1.0" encoding="utf-8"?>
<ds:datastoreItem xmlns:ds="http://schemas.openxmlformats.org/officeDocument/2006/customXml" ds:itemID="{F80F51E3-88DD-4B43-965D-AEE0688CDE30}">
  <ds:schemaRefs/>
</ds:datastoreItem>
</file>

<file path=customXml/itemProps4.xml><?xml version="1.0" encoding="utf-8"?>
<ds:datastoreItem xmlns:ds="http://schemas.openxmlformats.org/officeDocument/2006/customXml" ds:itemID="{40BF0543-0B7F-407C-B555-2A45AC5E1A55}">
  <ds:schemaRefs/>
</ds:datastoreItem>
</file>

<file path=customXml/itemProps5.xml><?xml version="1.0" encoding="utf-8"?>
<ds:datastoreItem xmlns:ds="http://schemas.openxmlformats.org/officeDocument/2006/customXml" ds:itemID="{667A792E-EA2D-421F-AA45-C1C4A62A27DC}">
  <ds:schemaRefs/>
</ds:datastoreItem>
</file>

<file path=customXml/itemProps6.xml><?xml version="1.0" encoding="utf-8"?>
<ds:datastoreItem xmlns:ds="http://schemas.openxmlformats.org/officeDocument/2006/customXml" ds:itemID="{4826CC35-9E60-4651-8171-8F34F45FF9DA}">
  <ds:schemaRefs/>
</ds:datastoreItem>
</file>

<file path=customXml/itemProps7.xml><?xml version="1.0" encoding="utf-8"?>
<ds:datastoreItem xmlns:ds="http://schemas.openxmlformats.org/officeDocument/2006/customXml" ds:itemID="{4F28F76C-0EF6-477D-B0A9-7BC649095C31}">
  <ds:schemaRefs/>
</ds:datastoreItem>
</file>

<file path=customXml/itemProps8.xml><?xml version="1.0" encoding="utf-8"?>
<ds:datastoreItem xmlns:ds="http://schemas.openxmlformats.org/officeDocument/2006/customXml" ds:itemID="{A711D663-CCB0-470E-9F01-B37C0D9DC562}">
  <ds:schemaRefs/>
</ds:datastoreItem>
</file>

<file path=customXml/itemProps9.xml><?xml version="1.0" encoding="utf-8"?>
<ds:datastoreItem xmlns:ds="http://schemas.openxmlformats.org/officeDocument/2006/customXml" ds:itemID="{BB28CC44-06B3-4870-A669-C6CEA842C68C}">
  <ds:schemaRefs/>
</ds:datastoreItem>
</file>

<file path=customXml/itemProps10.xml><?xml version="1.0" encoding="utf-8"?>
<ds:datastoreItem xmlns:ds="http://schemas.openxmlformats.org/officeDocument/2006/customXml" ds:itemID="{4ECD9DE0-1258-4587-8CF4-FDB12BC47400}">
  <ds:schemaRefs/>
</ds:datastoreItem>
</file>

<file path=customXml/itemProps11.xml><?xml version="1.0" encoding="utf-8"?>
<ds:datastoreItem xmlns:ds="http://schemas.openxmlformats.org/officeDocument/2006/customXml" ds:itemID="{A76CDE62-BFD6-42C4-9A61-F47F011462E0}">
  <ds:schemaRefs/>
</ds:datastoreItem>
</file>

<file path=customXml/itemProps12.xml><?xml version="1.0" encoding="utf-8"?>
<ds:datastoreItem xmlns:ds="http://schemas.openxmlformats.org/officeDocument/2006/customXml" ds:itemID="{3591CB49-CC10-418D-95C9-A4950069EC09}">
  <ds:schemaRefs/>
</ds:datastoreItem>
</file>

<file path=customXml/itemProps13.xml><?xml version="1.0" encoding="utf-8"?>
<ds:datastoreItem xmlns:ds="http://schemas.openxmlformats.org/officeDocument/2006/customXml" ds:itemID="{CDDCF1A4-9CD7-49D3-A8B3-0A33A75410A6}">
  <ds:schemaRefs/>
</ds:datastoreItem>
</file>

<file path=customXml/itemProps14.xml><?xml version="1.0" encoding="utf-8"?>
<ds:datastoreItem xmlns:ds="http://schemas.openxmlformats.org/officeDocument/2006/customXml" ds:itemID="{9761D53E-E6D7-4C47-AE87-C6E282420DF4}">
  <ds:schemaRefs/>
</ds:datastoreItem>
</file>

<file path=customXml/itemProps15.xml><?xml version="1.0" encoding="utf-8"?>
<ds:datastoreItem xmlns:ds="http://schemas.openxmlformats.org/officeDocument/2006/customXml" ds:itemID="{1E8A0C6B-1761-4480-884E-ADB092ED6EF1}">
  <ds:schemaRefs/>
</ds:datastoreItem>
</file>

<file path=customXml/itemProps16.xml><?xml version="1.0" encoding="utf-8"?>
<ds:datastoreItem xmlns:ds="http://schemas.openxmlformats.org/officeDocument/2006/customXml" ds:itemID="{FC5AD36D-4EE6-4801-B7BE-D6656AE6BDE0}">
  <ds:schemaRefs/>
</ds:datastoreItem>
</file>

<file path=customXml/itemProps17.xml><?xml version="1.0" encoding="utf-8"?>
<ds:datastoreItem xmlns:ds="http://schemas.openxmlformats.org/officeDocument/2006/customXml" ds:itemID="{0C89E73E-79D0-456C-B6C9-9E4A6CC56CAD}">
  <ds:schemaRefs/>
</ds:datastoreItem>
</file>

<file path=customXml/itemProps18.xml><?xml version="1.0" encoding="utf-8"?>
<ds:datastoreItem xmlns:ds="http://schemas.openxmlformats.org/officeDocument/2006/customXml" ds:itemID="{A54D3AFA-1D70-42F8-BDF2-96E4A7CB25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Daily ER Patients</vt:lpstr>
      <vt:lpstr>Average wait time trend</vt:lpstr>
      <vt:lpstr>Satisfaction score daily trend</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BHAVIK PARMAR</dc:creator>
  <cp:lastModifiedBy>BHAVIK PARMAR</cp:lastModifiedBy>
  <dcterms:created xsi:type="dcterms:W3CDTF">2026-06-10T07:12:48Z</dcterms:created>
  <dcterms:modified xsi:type="dcterms:W3CDTF">2026-06-13T10:24:27Z</dcterms:modified>
</cp:coreProperties>
</file>